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bdul Rahman\Desktop\project\finish projects\"/>
    </mc:Choice>
  </mc:AlternateContent>
  <xr:revisionPtr revIDLastSave="0" documentId="13_ncr:1_{80DE3DF0-D053-4745-9DA0-3016AE536EFE}" xr6:coauthVersionLast="47" xr6:coauthVersionMax="47" xr10:uidLastSave="{00000000-0000-0000-0000-000000000000}"/>
  <bookViews>
    <workbookView xWindow="-120" yWindow="-120" windowWidth="20730" windowHeight="11040" firstSheet="1" activeTab="1" xr2:uid="{1A393ED3-605A-4816-A7B6-6A75DB5420DE}"/>
  </bookViews>
  <sheets>
    <sheet name="pivot" sheetId="1" state="hidden" r:id="rId1"/>
    <sheet name="dashboard" sheetId="2" r:id="rId2"/>
    <sheet name="findings" sheetId="3" r:id="rId3"/>
  </sheets>
  <definedNames>
    <definedName name="Slicer_region">#N/A</definedName>
  </definedNames>
  <calcPr calcId="191029"/>
  <pivotCaches>
    <pivotCache cacheId="0" r:id="rId4"/>
    <pivotCache cacheId="16" r:id="rId5"/>
    <pivotCache cacheId="19" r:id="rId6"/>
    <pivotCache cacheId="22" r:id="rId7"/>
    <pivotCache cacheId="25" r:id="rId8"/>
    <pivotCache cacheId="28" r:id="rId9"/>
    <pivotCache cacheId="31" r:id="rId10"/>
    <pivotCache cacheId="34" r:id="rId11"/>
    <pivotCache cacheId="37" r:id="rId12"/>
    <pivotCache cacheId="40" r:id="rId13"/>
    <pivotCache cacheId="43" r:id="rId14"/>
    <pivotCache cacheId="46" r:id="rId15"/>
    <pivotCache cacheId="49"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cations_4dc81c72-3f1a-47ed-8aa3-0218794cf884" name="locations" connection="Query - locations"/>
          <x15:modelTable id="make_details_35ba2675-c43c-4c82-886e-0088bf24372a" name="make_details" connection="Query - make_details"/>
          <x15:modelTable id="stolen_vehicles_fb325cc4-87dc-4571-9893-346c2a34bbff" name="stolen_vehicles" connection="Query - stolen_vehicles"/>
          <x15:modelTable id="stolen_vehicles_db_data_dictionary_32bf56ce-75c4-4185-a1ac-ea6768323def" name="stolen_vehicles_db_data_dictionary" connection="Query - stolen_vehicles_db_data_dictionary"/>
        </x15:modelTables>
        <x15:modelRelationships>
          <x15:modelRelationship fromTable="stolen_vehicles" fromColumn="location_id" toTable="locations" toColumn="loc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BDEF82-1B89-4C88-93B1-8FA5548DBD81}" name="Query - locations" description="Connection to the 'locations' query in the workbook." type="100" refreshedVersion="8" minRefreshableVersion="5">
    <extLst>
      <ext xmlns:x15="http://schemas.microsoft.com/office/spreadsheetml/2010/11/main" uri="{DE250136-89BD-433C-8126-D09CA5730AF9}">
        <x15:connection id="394791bc-4949-4b58-bc11-8f19687b1caa"/>
      </ext>
    </extLst>
  </connection>
  <connection id="2" xr16:uid="{4280AFD4-E3CF-4322-91C0-CEA8F127B864}" name="Query - make_details" description="Connection to the 'make_details' query in the workbook." type="100" refreshedVersion="8" minRefreshableVersion="5">
    <extLst>
      <ext xmlns:x15="http://schemas.microsoft.com/office/spreadsheetml/2010/11/main" uri="{DE250136-89BD-433C-8126-D09CA5730AF9}">
        <x15:connection id="70a010f5-ad7b-43ac-95e5-50e2076bd2e2"/>
      </ext>
    </extLst>
  </connection>
  <connection id="3" xr16:uid="{082EF513-EF12-4433-9929-57FC46B1D883}" name="Query - stolen_vehicles" description="Connection to the 'stolen_vehicles' query in the workbook." type="100" refreshedVersion="8" minRefreshableVersion="5">
    <extLst>
      <ext xmlns:x15="http://schemas.microsoft.com/office/spreadsheetml/2010/11/main" uri="{DE250136-89BD-433C-8126-D09CA5730AF9}">
        <x15:connection id="68ca0810-5e66-4c8e-8611-3c34f57d9680"/>
      </ext>
    </extLst>
  </connection>
  <connection id="4" xr16:uid="{40FA2EF4-62DA-4E6B-A4EA-76569F26FDDA}" name="Query - stolen_vehicles_db_data_dictionary" description="Connection to the 'stolen_vehicles_db_data_dictionary' query in the workbook." type="100" refreshedVersion="8" minRefreshableVersion="5">
    <extLst>
      <ext xmlns:x15="http://schemas.microsoft.com/office/spreadsheetml/2010/11/main" uri="{DE250136-89BD-433C-8126-D09CA5730AF9}">
        <x15:connection id="02a1be0c-e3ee-42ec-9d58-959a5fc92c47"/>
      </ext>
    </extLst>
  </connection>
  <connection id="5" xr16:uid="{128BDCA6-E089-4283-9A44-93CD717BBF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<sst xmlns="http://schemas.openxmlformats.org/spreadsheetml/2006/main" count="125" uniqueCount="88">
  <si>
    <t>Grand Total</t>
  </si>
  <si>
    <t>Count of vehicle_id</t>
  </si>
  <si>
    <t>number of vehicle</t>
  </si>
  <si>
    <t>Saloon</t>
  </si>
  <si>
    <t>Green</t>
  </si>
  <si>
    <t>11-20 years</t>
  </si>
  <si>
    <t>Silver</t>
  </si>
  <si>
    <t>Gold</t>
  </si>
  <si>
    <t>Grey</t>
  </si>
  <si>
    <t>Black</t>
  </si>
  <si>
    <t>White</t>
  </si>
  <si>
    <t>Blue</t>
  </si>
  <si>
    <t>Red</t>
  </si>
  <si>
    <t>Hatchback</t>
  </si>
  <si>
    <t>Stationwagon</t>
  </si>
  <si>
    <t>Trailer</t>
  </si>
  <si>
    <t>Roadbike</t>
  </si>
  <si>
    <t>Moped</t>
  </si>
  <si>
    <t>Utility</t>
  </si>
  <si>
    <t>21-40 years</t>
  </si>
  <si>
    <t>0-5 years</t>
  </si>
  <si>
    <t>6-10 years</t>
  </si>
  <si>
    <t>40+ years</t>
  </si>
  <si>
    <t>Caravan</t>
  </si>
  <si>
    <t>Day</t>
  </si>
  <si>
    <t>vihicle type</t>
  </si>
  <si>
    <t>Month</t>
  </si>
  <si>
    <t>Colour</t>
  </si>
  <si>
    <t>age group</t>
  </si>
  <si>
    <t>region</t>
  </si>
  <si>
    <t>Mon</t>
  </si>
  <si>
    <t>Thu</t>
  </si>
  <si>
    <t>Sat</t>
  </si>
  <si>
    <t>Tue</t>
  </si>
  <si>
    <t>Fri</t>
  </si>
  <si>
    <t>Wed</t>
  </si>
  <si>
    <t>Sun</t>
  </si>
  <si>
    <t>year stolen</t>
  </si>
  <si>
    <t>Southland</t>
  </si>
  <si>
    <t>Mar</t>
  </si>
  <si>
    <t>Dec</t>
  </si>
  <si>
    <t>Jan</t>
  </si>
  <si>
    <t>Feb</t>
  </si>
  <si>
    <t>Oct</t>
  </si>
  <si>
    <t>Top 10 Stolen Vehicles</t>
  </si>
  <si>
    <t>Vehicle type</t>
  </si>
  <si>
    <t># of vehicle</t>
  </si>
  <si>
    <t>Count of Vehicle Age Group</t>
  </si>
  <si>
    <t>max</t>
  </si>
  <si>
    <t>unknown</t>
  </si>
  <si>
    <t>Trailer - Heavy</t>
  </si>
  <si>
    <t>Trail Bike</t>
  </si>
  <si>
    <t>Tractor</t>
  </si>
  <si>
    <t>Sports Car</t>
  </si>
  <si>
    <t>Special Purpose Vehicle</t>
  </si>
  <si>
    <t>Other Truck</t>
  </si>
  <si>
    <t>Mobile Home - Light</t>
  </si>
  <si>
    <t>Light Van</t>
  </si>
  <si>
    <t>Light Bus</t>
  </si>
  <si>
    <t>Heavy Van</t>
  </si>
  <si>
    <t>Flat Deck Truck</t>
  </si>
  <si>
    <t>Convertible</t>
  </si>
  <si>
    <t>Cab and Chassis Only</t>
  </si>
  <si>
    <t>Boat Trailer</t>
  </si>
  <si>
    <t>Articulated Truck</t>
  </si>
  <si>
    <t>All Terrain Vehicle</t>
  </si>
  <si>
    <t>Nov</t>
  </si>
  <si>
    <t>Apr</t>
  </si>
  <si>
    <t>Pink</t>
  </si>
  <si>
    <t>Cream</t>
  </si>
  <si>
    <t>Purple</t>
  </si>
  <si>
    <t>Orange</t>
  </si>
  <si>
    <t>Yellow</t>
  </si>
  <si>
    <t>Brown</t>
  </si>
  <si>
    <t>Canterbury</t>
  </si>
  <si>
    <t>Gisborne</t>
  </si>
  <si>
    <t>Hawke's Bay</t>
  </si>
  <si>
    <t>Manawatū-Whanganui</t>
  </si>
  <si>
    <t>Nelson</t>
  </si>
  <si>
    <t>Northland</t>
  </si>
  <si>
    <t>Otago</t>
  </si>
  <si>
    <t>Taranaki</t>
  </si>
  <si>
    <t>Waikato</t>
  </si>
  <si>
    <t>Wellington</t>
  </si>
  <si>
    <t>Average of vehicle age</t>
  </si>
  <si>
    <t>Bay of Plenty</t>
  </si>
  <si>
    <t>Mobile Machine</t>
  </si>
  <si>
    <t>Auckland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</si>
</sst>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GH₵&quot;#,##0.00"/>
    <numFmt numFmtId="165" formatCode="_-* #,##0_-;\-* #,##0_-;_-* &quot;-&quot;??_-;_-@_-"/>
  </numFmts>
  <fonts count="3" x14ac:knownFonts="1">
    <font>
      <sz val="11"/>
      <color theme="1"/>
      <name val="Arial"/>
      <family val="2"/>
      <scheme val="minor"/>
    </font>
    <font>
      <b/>
      <sz val="11"/>
      <color theme="1"/>
      <name val="Arial"/>
      <family val="2"/>
      <scheme val="minor"/>
    </font>
    <font>
      <b/>
      <sz val="14"/>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0" fontId="1" fillId="0" borderId="0" xfId="0" pivotButton="1" applyFont="1"/>
    <xf numFmtId="0" fontId="1" fillId="0" borderId="0" xfId="0" applyFont="1"/>
    <xf numFmtId="165" fontId="0" fillId="0" borderId="0" xfId="0" applyNumberFormat="1"/>
    <xf numFmtId="0" fontId="2" fillId="3" borderId="0" xfId="0" applyFont="1" applyFill="1" applyAlignment="1">
      <alignment horizontal="center" vertical="center"/>
    </xf>
    <xf numFmtId="0" fontId="0" fillId="0" borderId="0" xfId="0" applyNumberFormat="1"/>
    <xf numFmtId="0" fontId="0" fillId="2" borderId="0" xfId="0" applyNumberFormat="1" applyFill="1"/>
  </cellXfs>
  <cellStyles count="1">
    <cellStyle name="Normal" xfId="0" builtinId="0"/>
  </cellStyles>
  <dxfs count="18">
    <dxf>
      <numFmt numFmtId="165" formatCode="_-* #,##0_-;\-* #,##0_-;_-* &quot;-&quot;??_-;_-@_-"/>
    </dxf>
    <dxf>
      <numFmt numFmtId="164" formatCode="&quot;GH₵&quot;#,##0.00"/>
    </dxf>
    <dxf>
      <numFmt numFmtId="165" formatCode="_-* #,##0_-;\-* #,##0_-;_-* &quot;-&quot;??_-;_-@_-"/>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numFmt numFmtId="165" formatCode="_-* #,##0_-;\-* #,##0_-;_-* &quot;-&quot;??_-;_-@_-"/>
    </dxf>
    <dxf>
      <numFmt numFmtId="165" formatCode="_-* #,##0_-;\-* #,##0_-;_-* &quot;-&quot;??_-;_-@_-"/>
    </dxf>
    <dxf>
      <numFmt numFmtId="165" formatCode="_-* #,##0_-;\-* #,##0_-;_-* &quot;-&quot;??_-;_-@_-"/>
    </dxf>
    <dxf>
      <fill>
        <patternFill patternType="solid">
          <bgColor rgb="FFFFFF00"/>
        </patternFill>
      </fill>
    </dxf>
    <dxf>
      <fill>
        <patternFill patternType="solid">
          <bgColor rgb="FFFFFF00"/>
        </patternFill>
      </fill>
    </dxf>
    <dxf>
      <numFmt numFmtId="164" formatCode="&quot;GH₵&quot;#,##0.00"/>
    </dxf>
    <dxf>
      <fill>
        <patternFill patternType="solid">
          <bgColor rgb="FFFFFF00"/>
        </patternFill>
      </fill>
    </dxf>
    <dxf>
      <fill>
        <patternFill>
          <bgColor theme="2" tint="-9.9948118533890809E-2"/>
        </patternFill>
      </fill>
    </dxf>
  </dxfs>
  <tableStyles count="1" defaultTableStyle="TableStyleMedium2" defaultPivotStyle="PivotStyleLight16">
    <tableStyle name="Slicer Style 1" pivot="0" table="0" count="1" xr9:uid="{25CF6B7D-BD35-4B2F-8020-529C0B19399D}">
      <tableStyleElement type="wholeTable" dxfId="17"/>
    </tableStyle>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theft.xlsx]pivot!PivotTable3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Theft by </a:t>
            </a:r>
            <a:r>
              <a:rPr lang="en-US" sz="1400" b="1" i="0" u="none" strike="noStrike" baseline="0"/>
              <a:t>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pivot!$H$3:$H$10</c:f>
              <c:strCache>
                <c:ptCount val="7"/>
                <c:pt idx="0">
                  <c:v>Mar</c:v>
                </c:pt>
                <c:pt idx="1">
                  <c:v>Feb</c:v>
                </c:pt>
                <c:pt idx="2">
                  <c:v>Jan</c:v>
                </c:pt>
                <c:pt idx="3">
                  <c:v>Dec</c:v>
                </c:pt>
                <c:pt idx="4">
                  <c:v>Nov</c:v>
                </c:pt>
                <c:pt idx="5">
                  <c:v>Oct</c:v>
                </c:pt>
                <c:pt idx="6">
                  <c:v>Apr</c:v>
                </c:pt>
              </c:strCache>
            </c:strRef>
          </c:cat>
          <c:val>
            <c:numRef>
              <c:f>pivot!$I$3:$I$10</c:f>
              <c:numCache>
                <c:formatCode>General</c:formatCode>
                <c:ptCount val="7"/>
                <c:pt idx="0">
                  <c:v>1050</c:v>
                </c:pt>
                <c:pt idx="1">
                  <c:v>758</c:v>
                </c:pt>
                <c:pt idx="2">
                  <c:v>740</c:v>
                </c:pt>
                <c:pt idx="3">
                  <c:v>642</c:v>
                </c:pt>
                <c:pt idx="4">
                  <c:v>559</c:v>
                </c:pt>
                <c:pt idx="5">
                  <c:v>462</c:v>
                </c:pt>
                <c:pt idx="6">
                  <c:v>327</c:v>
                </c:pt>
              </c:numCache>
            </c:numRef>
          </c:val>
          <c:extLst>
            <c:ext xmlns:c16="http://schemas.microsoft.com/office/drawing/2014/chart" uri="{C3380CC4-5D6E-409C-BE32-E72D297353CC}">
              <c16:uniqueId val="{00000000-E144-4043-A673-D4B299CBF947}"/>
            </c:ext>
          </c:extLst>
        </c:ser>
        <c:dLbls>
          <c:showLegendKey val="0"/>
          <c:showVal val="0"/>
          <c:showCatName val="0"/>
          <c:showSerName val="0"/>
          <c:showPercent val="0"/>
          <c:showBubbleSize val="0"/>
        </c:dLbls>
        <c:gapWidth val="219"/>
        <c:overlap val="-27"/>
        <c:axId val="2048271759"/>
        <c:axId val="2048275599"/>
      </c:barChart>
      <c:catAx>
        <c:axId val="20482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2048275599"/>
        <c:crosses val="autoZero"/>
        <c:auto val="1"/>
        <c:lblAlgn val="ctr"/>
        <c:lblOffset val="100"/>
        <c:noMultiLvlLbl val="0"/>
      </c:catAx>
      <c:valAx>
        <c:axId val="2048275599"/>
        <c:scaling>
          <c:orientation val="minMax"/>
        </c:scaling>
        <c:delete val="1"/>
        <c:axPos val="l"/>
        <c:numFmt formatCode="General" sourceLinked="1"/>
        <c:majorTickMark val="none"/>
        <c:minorTickMark val="none"/>
        <c:tickLblPos val="nextTo"/>
        <c:crossAx val="20482717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theft.xlsx]pivot!day by vehicke stolen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Theft by </a:t>
            </a:r>
            <a:r>
              <a:rPr lang="en-US" sz="1400" b="1" i="0" u="none" strike="noStrike" baseline="0"/>
              <a:t>Day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pivot!$A$3:$A$10</c:f>
              <c:strCache>
                <c:ptCount val="7"/>
                <c:pt idx="0">
                  <c:v>Mon</c:v>
                </c:pt>
                <c:pt idx="1">
                  <c:v>Tue</c:v>
                </c:pt>
                <c:pt idx="2">
                  <c:v>Fri</c:v>
                </c:pt>
                <c:pt idx="3">
                  <c:v>Wed</c:v>
                </c:pt>
                <c:pt idx="4">
                  <c:v>Thu</c:v>
                </c:pt>
                <c:pt idx="5">
                  <c:v>Sun</c:v>
                </c:pt>
                <c:pt idx="6">
                  <c:v>Sat</c:v>
                </c:pt>
              </c:strCache>
            </c:strRef>
          </c:cat>
          <c:val>
            <c:numRef>
              <c:f>pivot!$B$3:$B$10</c:f>
              <c:numCache>
                <c:formatCode>General</c:formatCode>
                <c:ptCount val="7"/>
                <c:pt idx="0">
                  <c:v>762</c:v>
                </c:pt>
                <c:pt idx="1">
                  <c:v>708</c:v>
                </c:pt>
                <c:pt idx="2">
                  <c:v>654</c:v>
                </c:pt>
                <c:pt idx="3">
                  <c:v>625</c:v>
                </c:pt>
                <c:pt idx="4">
                  <c:v>618</c:v>
                </c:pt>
                <c:pt idx="5">
                  <c:v>595</c:v>
                </c:pt>
                <c:pt idx="6">
                  <c:v>576</c:v>
                </c:pt>
              </c:numCache>
            </c:numRef>
          </c:val>
          <c:extLst>
            <c:ext xmlns:c16="http://schemas.microsoft.com/office/drawing/2014/chart" uri="{C3380CC4-5D6E-409C-BE32-E72D297353CC}">
              <c16:uniqueId val="{00000000-AA4C-4A06-9C41-61A2C541D013}"/>
            </c:ext>
          </c:extLst>
        </c:ser>
        <c:dLbls>
          <c:showLegendKey val="0"/>
          <c:showVal val="0"/>
          <c:showCatName val="0"/>
          <c:showSerName val="0"/>
          <c:showPercent val="0"/>
          <c:showBubbleSize val="0"/>
        </c:dLbls>
        <c:gapWidth val="219"/>
        <c:axId val="1327492767"/>
        <c:axId val="1327501407"/>
      </c:barChart>
      <c:catAx>
        <c:axId val="132749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1327501407"/>
        <c:crosses val="autoZero"/>
        <c:auto val="1"/>
        <c:lblAlgn val="ctr"/>
        <c:lblOffset val="100"/>
        <c:noMultiLvlLbl val="0"/>
      </c:catAx>
      <c:valAx>
        <c:axId val="1327501407"/>
        <c:scaling>
          <c:orientation val="minMax"/>
        </c:scaling>
        <c:delete val="1"/>
        <c:axPos val="l"/>
        <c:numFmt formatCode="General" sourceLinked="1"/>
        <c:majorTickMark val="none"/>
        <c:minorTickMark val="none"/>
        <c:tickLblPos val="nextTo"/>
        <c:crossAx val="132749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[vehicle theft.xlsx]pivot!PivotTable4</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 Theft by </a:t>
            </a:r>
            <a:r>
              <a:rPr lang="en-US" sz="1400" b="1" i="0" u="none" strike="noStrike" kern="1200" spc="0" baseline="0">
                <a:solidFill>
                  <a:sysClr val="windowText" lastClr="000000">
                    <a:lumMod val="65000"/>
                    <a:lumOff val="35000"/>
                  </a:sysClr>
                </a:solidFill>
              </a:rPr>
              <a:t>Colour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6267127823975278"/>
          <c:y val="2.807017543859649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H"/>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pivot!$A$14:$A$28</c:f>
              <c:strCache>
                <c:ptCount val="14"/>
                <c:pt idx="0">
                  <c:v>Pink</c:v>
                </c:pt>
                <c:pt idx="1">
                  <c:v>Cream</c:v>
                </c:pt>
                <c:pt idx="2">
                  <c:v>Purple</c:v>
                </c:pt>
                <c:pt idx="3">
                  <c:v>Orange</c:v>
                </c:pt>
                <c:pt idx="4">
                  <c:v>Yellow</c:v>
                </c:pt>
                <c:pt idx="5">
                  <c:v>Brown</c:v>
                </c:pt>
                <c:pt idx="6">
                  <c:v>Gold</c:v>
                </c:pt>
                <c:pt idx="7">
                  <c:v>Green</c:v>
                </c:pt>
                <c:pt idx="8">
                  <c:v>Grey</c:v>
                </c:pt>
                <c:pt idx="9">
                  <c:v>Red</c:v>
                </c:pt>
                <c:pt idx="10">
                  <c:v>Blue</c:v>
                </c:pt>
                <c:pt idx="11">
                  <c:v>Black</c:v>
                </c:pt>
                <c:pt idx="12">
                  <c:v>White</c:v>
                </c:pt>
                <c:pt idx="13">
                  <c:v>Silver</c:v>
                </c:pt>
              </c:strCache>
            </c:strRef>
          </c:cat>
          <c:val>
            <c:numRef>
              <c:f>pivot!$B$14:$B$28</c:f>
              <c:numCache>
                <c:formatCode>General</c:formatCode>
                <c:ptCount val="14"/>
                <c:pt idx="0">
                  <c:v>4</c:v>
                </c:pt>
                <c:pt idx="1">
                  <c:v>9</c:v>
                </c:pt>
                <c:pt idx="2">
                  <c:v>26</c:v>
                </c:pt>
                <c:pt idx="3">
                  <c:v>35</c:v>
                </c:pt>
                <c:pt idx="4">
                  <c:v>39</c:v>
                </c:pt>
                <c:pt idx="5">
                  <c:v>49</c:v>
                </c:pt>
                <c:pt idx="6">
                  <c:v>77</c:v>
                </c:pt>
                <c:pt idx="7">
                  <c:v>224</c:v>
                </c:pt>
                <c:pt idx="8">
                  <c:v>378</c:v>
                </c:pt>
                <c:pt idx="9">
                  <c:v>390</c:v>
                </c:pt>
                <c:pt idx="10">
                  <c:v>512</c:v>
                </c:pt>
                <c:pt idx="11">
                  <c:v>589</c:v>
                </c:pt>
                <c:pt idx="12">
                  <c:v>934</c:v>
                </c:pt>
                <c:pt idx="13">
                  <c:v>1272</c:v>
                </c:pt>
              </c:numCache>
            </c:numRef>
          </c:val>
          <c:smooth val="0"/>
          <c:extLst>
            <c:ext xmlns:c16="http://schemas.microsoft.com/office/drawing/2014/chart" uri="{C3380CC4-5D6E-409C-BE32-E72D297353CC}">
              <c16:uniqueId val="{00000000-70D2-469B-ABD1-7AC3D9CAC157}"/>
            </c:ext>
          </c:extLst>
        </c:ser>
        <c:dLbls>
          <c:showLegendKey val="0"/>
          <c:showVal val="0"/>
          <c:showCatName val="0"/>
          <c:showSerName val="0"/>
          <c:showPercent val="0"/>
          <c:showBubbleSize val="0"/>
        </c:dLbls>
        <c:smooth val="0"/>
        <c:axId val="1327495647"/>
        <c:axId val="1327499967"/>
      </c:lineChart>
      <c:catAx>
        <c:axId val="13274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GH"/>
          </a:p>
        </c:txPr>
        <c:crossAx val="1327499967"/>
        <c:crosses val="autoZero"/>
        <c:auto val="1"/>
        <c:lblAlgn val="ctr"/>
        <c:lblOffset val="100"/>
        <c:noMultiLvlLbl val="0"/>
      </c:catAx>
      <c:valAx>
        <c:axId val="1327499967"/>
        <c:scaling>
          <c:orientation val="minMax"/>
        </c:scaling>
        <c:delete val="1"/>
        <c:axPos val="l"/>
        <c:numFmt formatCode="General" sourceLinked="1"/>
        <c:majorTickMark val="none"/>
        <c:minorTickMark val="none"/>
        <c:tickLblPos val="nextTo"/>
        <c:crossAx val="13274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theft.xlsx]pivot!PivotTable6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Theft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77648762289E-2"/>
          <c:y val="0.20794074074074073"/>
          <c:w val="0.88888884470247542"/>
          <c:h val="0.57763966170895309"/>
        </c:manualLayout>
      </c:layout>
      <c:barChart>
        <c:barDir val="col"/>
        <c:grouping val="clustered"/>
        <c:varyColors val="0"/>
        <c:ser>
          <c:idx val="0"/>
          <c:order val="0"/>
          <c:tx>
            <c:strRef>
              <c:f>pivot!$I$18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pivot!$H$19:$H$24</c:f>
              <c:strCache>
                <c:ptCount val="5"/>
                <c:pt idx="0">
                  <c:v>11-20 years</c:v>
                </c:pt>
                <c:pt idx="1">
                  <c:v>21-40 years</c:v>
                </c:pt>
                <c:pt idx="2">
                  <c:v>0-5 years</c:v>
                </c:pt>
                <c:pt idx="3">
                  <c:v>6-10 years</c:v>
                </c:pt>
                <c:pt idx="4">
                  <c:v>40+ years</c:v>
                </c:pt>
              </c:strCache>
            </c:strRef>
          </c:cat>
          <c:val>
            <c:numRef>
              <c:f>pivot!$I$19:$I$24</c:f>
              <c:numCache>
                <c:formatCode>General</c:formatCode>
                <c:ptCount val="5"/>
                <c:pt idx="0">
                  <c:v>2074</c:v>
                </c:pt>
                <c:pt idx="1">
                  <c:v>1255</c:v>
                </c:pt>
                <c:pt idx="2">
                  <c:v>620</c:v>
                </c:pt>
                <c:pt idx="3">
                  <c:v>518</c:v>
                </c:pt>
                <c:pt idx="4">
                  <c:v>71</c:v>
                </c:pt>
              </c:numCache>
            </c:numRef>
          </c:val>
          <c:extLst>
            <c:ext xmlns:c16="http://schemas.microsoft.com/office/drawing/2014/chart" uri="{C3380CC4-5D6E-409C-BE32-E72D297353CC}">
              <c16:uniqueId val="{00000000-FB40-491E-B828-ED0DECFF1367}"/>
            </c:ext>
          </c:extLst>
        </c:ser>
        <c:dLbls>
          <c:showLegendKey val="0"/>
          <c:showVal val="0"/>
          <c:showCatName val="0"/>
          <c:showSerName val="0"/>
          <c:showPercent val="0"/>
          <c:showBubbleSize val="0"/>
        </c:dLbls>
        <c:gapWidth val="219"/>
        <c:overlap val="-27"/>
        <c:axId val="1294090192"/>
        <c:axId val="488459216"/>
      </c:barChart>
      <c:catAx>
        <c:axId val="12940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GH"/>
          </a:p>
        </c:txPr>
        <c:crossAx val="488459216"/>
        <c:crosses val="autoZero"/>
        <c:auto val="1"/>
        <c:lblAlgn val="ctr"/>
        <c:lblOffset val="100"/>
        <c:noMultiLvlLbl val="0"/>
      </c:catAx>
      <c:valAx>
        <c:axId val="488459216"/>
        <c:scaling>
          <c:orientation val="minMax"/>
        </c:scaling>
        <c:delete val="1"/>
        <c:axPos val="l"/>
        <c:numFmt formatCode="General" sourceLinked="1"/>
        <c:majorTickMark val="none"/>
        <c:minorTickMark val="none"/>
        <c:tickLblPos val="nextTo"/>
        <c:crossAx val="12940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76200</xdr:rowOff>
    </xdr:from>
    <xdr:to>
      <xdr:col>20</xdr:col>
      <xdr:colOff>219075</xdr:colOff>
      <xdr:row>29</xdr:row>
      <xdr:rowOff>95250</xdr:rowOff>
    </xdr:to>
    <xdr:sp macro="" textlink="">
      <xdr:nvSpPr>
        <xdr:cNvPr id="2" name="Rectangle 1">
          <a:extLst>
            <a:ext uri="{FF2B5EF4-FFF2-40B4-BE49-F238E27FC236}">
              <a16:creationId xmlns:a16="http://schemas.microsoft.com/office/drawing/2014/main" id="{5746C9A0-8B97-1833-84DF-0DEE71770768}"/>
            </a:ext>
          </a:extLst>
        </xdr:cNvPr>
        <xdr:cNvSpPr/>
      </xdr:nvSpPr>
      <xdr:spPr>
        <a:xfrm>
          <a:off x="142875" y="76200"/>
          <a:ext cx="12268200" cy="5543550"/>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247650</xdr:colOff>
      <xdr:row>0</xdr:row>
      <xdr:rowOff>152400</xdr:rowOff>
    </xdr:from>
    <xdr:to>
      <xdr:col>7</xdr:col>
      <xdr:colOff>266700</xdr:colOff>
      <xdr:row>4</xdr:row>
      <xdr:rowOff>19050</xdr:rowOff>
    </xdr:to>
    <xdr:sp macro="" textlink="">
      <xdr:nvSpPr>
        <xdr:cNvPr id="3" name="Rectangle 2">
          <a:extLst>
            <a:ext uri="{FF2B5EF4-FFF2-40B4-BE49-F238E27FC236}">
              <a16:creationId xmlns:a16="http://schemas.microsoft.com/office/drawing/2014/main" id="{9AE16946-48BE-FCF3-9626-81C0CDFA311A}"/>
            </a:ext>
          </a:extLst>
        </xdr:cNvPr>
        <xdr:cNvSpPr/>
      </xdr:nvSpPr>
      <xdr:spPr>
        <a:xfrm>
          <a:off x="247650" y="152400"/>
          <a:ext cx="4286250" cy="628650"/>
        </a:xfrm>
        <a:prstGeom prst="rect">
          <a:avLst/>
        </a:prstGeom>
        <a:noFill/>
        <a:effectLst>
          <a:outerShdw blurRad="50800" dist="38100" dir="8100000" algn="tr"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352425</xdr:colOff>
      <xdr:row>1</xdr:row>
      <xdr:rowOff>60416</xdr:rowOff>
    </xdr:from>
    <xdr:to>
      <xdr:col>7</xdr:col>
      <xdr:colOff>200025</xdr:colOff>
      <xdr:row>3</xdr:row>
      <xdr:rowOff>101510</xdr:rowOff>
    </xdr:to>
    <xdr:sp macro="" textlink="">
      <xdr:nvSpPr>
        <xdr:cNvPr id="4" name="TextBox 3">
          <a:extLst>
            <a:ext uri="{FF2B5EF4-FFF2-40B4-BE49-F238E27FC236}">
              <a16:creationId xmlns:a16="http://schemas.microsoft.com/office/drawing/2014/main" id="{EA9F97B6-2E32-1299-5D96-02E0714FCE74}"/>
            </a:ext>
          </a:extLst>
        </xdr:cNvPr>
        <xdr:cNvSpPr txBox="1"/>
      </xdr:nvSpPr>
      <xdr:spPr>
        <a:xfrm>
          <a:off x="352425" y="250916"/>
          <a:ext cx="4114800" cy="422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Stolen Vehicle Patterns in New Zealand</a:t>
          </a:r>
          <a:endParaRPr lang="en-GH" sz="1800" b="1"/>
        </a:p>
      </xdr:txBody>
    </xdr:sp>
    <xdr:clientData/>
  </xdr:twoCellAnchor>
  <xdr:oneCellAnchor>
    <xdr:from>
      <xdr:col>12</xdr:col>
      <xdr:colOff>238125</xdr:colOff>
      <xdr:row>6</xdr:row>
      <xdr:rowOff>9525</xdr:rowOff>
    </xdr:from>
    <xdr:ext cx="184731" cy="264560"/>
    <xdr:sp macro="" textlink="">
      <xdr:nvSpPr>
        <xdr:cNvPr id="6" name="TextBox 5">
          <a:extLst>
            <a:ext uri="{FF2B5EF4-FFF2-40B4-BE49-F238E27FC236}">
              <a16:creationId xmlns:a16="http://schemas.microsoft.com/office/drawing/2014/main" id="{97856642-7B32-EB47-58DC-1D13672FAE47}"/>
            </a:ext>
          </a:extLst>
        </xdr:cNvPr>
        <xdr:cNvSpPr txBox="1"/>
      </xdr:nvSpPr>
      <xdr:spPr>
        <a:xfrm>
          <a:off x="7553325" y="1152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H" sz="1100"/>
        </a:p>
      </xdr:txBody>
    </xdr:sp>
    <xdr:clientData/>
  </xdr:oneCellAnchor>
  <xdr:twoCellAnchor>
    <xdr:from>
      <xdr:col>0</xdr:col>
      <xdr:colOff>266700</xdr:colOff>
      <xdr:row>4</xdr:row>
      <xdr:rowOff>85725</xdr:rowOff>
    </xdr:from>
    <xdr:to>
      <xdr:col>4</xdr:col>
      <xdr:colOff>456300</xdr:colOff>
      <xdr:row>28</xdr:row>
      <xdr:rowOff>183075</xdr:rowOff>
    </xdr:to>
    <xdr:sp macro="" textlink="">
      <xdr:nvSpPr>
        <xdr:cNvPr id="7" name="Rectangle 6">
          <a:extLst>
            <a:ext uri="{FF2B5EF4-FFF2-40B4-BE49-F238E27FC236}">
              <a16:creationId xmlns:a16="http://schemas.microsoft.com/office/drawing/2014/main" id="{C573C9DC-E207-E99A-DA25-9F0790F96A26}"/>
            </a:ext>
          </a:extLst>
        </xdr:cNvPr>
        <xdr:cNvSpPr/>
      </xdr:nvSpPr>
      <xdr:spPr>
        <a:xfrm>
          <a:off x="266700" y="847725"/>
          <a:ext cx="2628000" cy="4669350"/>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38100</xdr:colOff>
      <xdr:row>0</xdr:row>
      <xdr:rowOff>171901</xdr:rowOff>
    </xdr:from>
    <xdr:to>
      <xdr:col>20</xdr:col>
      <xdr:colOff>95252</xdr:colOff>
      <xdr:row>15</xdr:row>
      <xdr:rowOff>114300</xdr:rowOff>
    </xdr:to>
    <xdr:sp macro="" textlink="">
      <xdr:nvSpPr>
        <xdr:cNvPr id="8" name="Rectangle 7">
          <a:extLst>
            <a:ext uri="{FF2B5EF4-FFF2-40B4-BE49-F238E27FC236}">
              <a16:creationId xmlns:a16="http://schemas.microsoft.com/office/drawing/2014/main" id="{39C7C540-F22D-4AD9-8410-CC41AB636B9B}"/>
            </a:ext>
          </a:extLst>
        </xdr:cNvPr>
        <xdr:cNvSpPr/>
      </xdr:nvSpPr>
      <xdr:spPr>
        <a:xfrm rot="5400000">
          <a:off x="8539389" y="-566513"/>
          <a:ext cx="2847524" cy="4324352"/>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14</xdr:col>
      <xdr:colOff>0</xdr:colOff>
      <xdr:row>16</xdr:row>
      <xdr:rowOff>38103</xdr:rowOff>
    </xdr:from>
    <xdr:to>
      <xdr:col>20</xdr:col>
      <xdr:colOff>76202</xdr:colOff>
      <xdr:row>28</xdr:row>
      <xdr:rowOff>161927</xdr:rowOff>
    </xdr:to>
    <xdr:sp macro="" textlink="">
      <xdr:nvSpPr>
        <xdr:cNvPr id="9" name="Rectangle 8">
          <a:extLst>
            <a:ext uri="{FF2B5EF4-FFF2-40B4-BE49-F238E27FC236}">
              <a16:creationId xmlns:a16="http://schemas.microsoft.com/office/drawing/2014/main" id="{83FF01D0-39B7-447A-B846-34BDEF5D6BAB}"/>
            </a:ext>
          </a:extLst>
        </xdr:cNvPr>
        <xdr:cNvSpPr/>
      </xdr:nvSpPr>
      <xdr:spPr>
        <a:xfrm rot="5400000">
          <a:off x="9034464" y="2471739"/>
          <a:ext cx="2409824" cy="3733802"/>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409575</xdr:colOff>
      <xdr:row>16</xdr:row>
      <xdr:rowOff>47627</xdr:rowOff>
    </xdr:from>
    <xdr:to>
      <xdr:col>13</xdr:col>
      <xdr:colOff>485777</xdr:colOff>
      <xdr:row>28</xdr:row>
      <xdr:rowOff>180976</xdr:rowOff>
    </xdr:to>
    <xdr:sp macro="" textlink="">
      <xdr:nvSpPr>
        <xdr:cNvPr id="10" name="Rectangle 9">
          <a:extLst>
            <a:ext uri="{FF2B5EF4-FFF2-40B4-BE49-F238E27FC236}">
              <a16:creationId xmlns:a16="http://schemas.microsoft.com/office/drawing/2014/main" id="{5BFADAB2-3CE1-4CAE-B979-BF27C9E11487}"/>
            </a:ext>
          </a:extLst>
        </xdr:cNvPr>
        <xdr:cNvSpPr/>
      </xdr:nvSpPr>
      <xdr:spPr>
        <a:xfrm rot="5400000">
          <a:off x="5253039" y="2566988"/>
          <a:ext cx="2419349" cy="3571877"/>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228600</xdr:colOff>
      <xdr:row>4</xdr:row>
      <xdr:rowOff>114300</xdr:rowOff>
    </xdr:from>
    <xdr:to>
      <xdr:col>7</xdr:col>
      <xdr:colOff>228600</xdr:colOff>
      <xdr:row>11</xdr:row>
      <xdr:rowOff>133350</xdr:rowOff>
    </xdr:to>
    <xdr:sp macro="" textlink="">
      <xdr:nvSpPr>
        <xdr:cNvPr id="11" name="Rectangle 10">
          <a:extLst>
            <a:ext uri="{FF2B5EF4-FFF2-40B4-BE49-F238E27FC236}">
              <a16:creationId xmlns:a16="http://schemas.microsoft.com/office/drawing/2014/main" id="{4479EDEE-0ACE-40BF-B1DD-BA3DD3BB3712}"/>
            </a:ext>
          </a:extLst>
        </xdr:cNvPr>
        <xdr:cNvSpPr/>
      </xdr:nvSpPr>
      <xdr:spPr>
        <a:xfrm rot="5400000">
          <a:off x="3209925" y="942975"/>
          <a:ext cx="1352550" cy="1219200"/>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238125</xdr:colOff>
      <xdr:row>12</xdr:row>
      <xdr:rowOff>123829</xdr:rowOff>
    </xdr:from>
    <xdr:to>
      <xdr:col>7</xdr:col>
      <xdr:colOff>238125</xdr:colOff>
      <xdr:row>19</xdr:row>
      <xdr:rowOff>161930</xdr:rowOff>
    </xdr:to>
    <xdr:sp macro="" textlink="">
      <xdr:nvSpPr>
        <xdr:cNvPr id="12" name="Rectangle 11">
          <a:extLst>
            <a:ext uri="{FF2B5EF4-FFF2-40B4-BE49-F238E27FC236}">
              <a16:creationId xmlns:a16="http://schemas.microsoft.com/office/drawing/2014/main" id="{FE51D296-F6EB-4FD3-9E41-6D7A11454E33}"/>
            </a:ext>
          </a:extLst>
        </xdr:cNvPr>
        <xdr:cNvSpPr/>
      </xdr:nvSpPr>
      <xdr:spPr>
        <a:xfrm rot="5400000">
          <a:off x="3209924" y="2486030"/>
          <a:ext cx="1371601" cy="1219200"/>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238125</xdr:colOff>
      <xdr:row>20</xdr:row>
      <xdr:rowOff>171450</xdr:rowOff>
    </xdr:from>
    <xdr:to>
      <xdr:col>7</xdr:col>
      <xdr:colOff>238125</xdr:colOff>
      <xdr:row>29</xdr:row>
      <xdr:rowOff>0</xdr:rowOff>
    </xdr:to>
    <xdr:sp macro="" textlink="">
      <xdr:nvSpPr>
        <xdr:cNvPr id="13" name="Rectangle 12">
          <a:extLst>
            <a:ext uri="{FF2B5EF4-FFF2-40B4-BE49-F238E27FC236}">
              <a16:creationId xmlns:a16="http://schemas.microsoft.com/office/drawing/2014/main" id="{70EC7333-919E-4F58-B48A-AF4924E85B33}"/>
            </a:ext>
          </a:extLst>
        </xdr:cNvPr>
        <xdr:cNvSpPr/>
      </xdr:nvSpPr>
      <xdr:spPr>
        <a:xfrm rot="5400000">
          <a:off x="3124200" y="4143375"/>
          <a:ext cx="1543050" cy="1219200"/>
        </a:xfrm>
        <a:prstGeom prst="rect">
          <a:avLst/>
        </a:prstGeom>
        <a:noFill/>
        <a:ln w="15875" cap="flat">
          <a:solidFill>
            <a:srgbClr val="0070C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447137</xdr:colOff>
      <xdr:row>16</xdr:row>
      <xdr:rowOff>116456</xdr:rowOff>
    </xdr:from>
    <xdr:to>
      <xdr:col>13</xdr:col>
      <xdr:colOff>437611</xdr:colOff>
      <xdr:row>28</xdr:row>
      <xdr:rowOff>87880</xdr:rowOff>
    </xdr:to>
    <xdr:graphicFrame macro="">
      <xdr:nvGraphicFramePr>
        <xdr:cNvPr id="14" name="Chart 13">
          <a:extLst>
            <a:ext uri="{FF2B5EF4-FFF2-40B4-BE49-F238E27FC236}">
              <a16:creationId xmlns:a16="http://schemas.microsoft.com/office/drawing/2014/main" id="{15891650-1DE9-4F5E-8C1E-F971E3273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75661</xdr:colOff>
      <xdr:row>16</xdr:row>
      <xdr:rowOff>105853</xdr:rowOff>
    </xdr:from>
    <xdr:to>
      <xdr:col>20</xdr:col>
      <xdr:colOff>18511</xdr:colOff>
      <xdr:row>28</xdr:row>
      <xdr:rowOff>48703</xdr:rowOff>
    </xdr:to>
    <xdr:graphicFrame macro="">
      <xdr:nvGraphicFramePr>
        <xdr:cNvPr id="15" name="Chart 14">
          <a:extLst>
            <a:ext uri="{FF2B5EF4-FFF2-40B4-BE49-F238E27FC236}">
              <a16:creationId xmlns:a16="http://schemas.microsoft.com/office/drawing/2014/main" id="{25D6D0F6-DCD8-4DAE-8B30-E2D06E922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142875</xdr:colOff>
      <xdr:row>1</xdr:row>
      <xdr:rowOff>28574</xdr:rowOff>
    </xdr:from>
    <xdr:to>
      <xdr:col>20</xdr:col>
      <xdr:colOff>28576</xdr:colOff>
      <xdr:row>15</xdr:row>
      <xdr:rowOff>28574</xdr:rowOff>
    </xdr:to>
    <xdr:graphicFrame macro="">
      <xdr:nvGraphicFramePr>
        <xdr:cNvPr id="16" name="Chart 15">
          <a:extLst>
            <a:ext uri="{FF2B5EF4-FFF2-40B4-BE49-F238E27FC236}">
              <a16:creationId xmlns:a16="http://schemas.microsoft.com/office/drawing/2014/main" id="{FD95415D-10C4-4477-BBC9-F3DA81044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314325</xdr:colOff>
      <xdr:row>16</xdr:row>
      <xdr:rowOff>180975</xdr:rowOff>
    </xdr:from>
    <xdr:to>
      <xdr:col>4</xdr:col>
      <xdr:colOff>390524</xdr:colOff>
      <xdr:row>28</xdr:row>
      <xdr:rowOff>38100</xdr:rowOff>
    </xdr:to>
    <xdr:graphicFrame macro="">
      <xdr:nvGraphicFramePr>
        <xdr:cNvPr id="17" name="Chart 16">
          <a:extLst>
            <a:ext uri="{FF2B5EF4-FFF2-40B4-BE49-F238E27FC236}">
              <a16:creationId xmlns:a16="http://schemas.microsoft.com/office/drawing/2014/main" id="{95CD022E-30DC-4CF4-BF88-08878A55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304800</xdr:colOff>
      <xdr:row>4</xdr:row>
      <xdr:rowOff>123826</xdr:rowOff>
    </xdr:from>
    <xdr:to>
      <xdr:col>4</xdr:col>
      <xdr:colOff>240632</xdr:colOff>
      <xdr:row>17</xdr:row>
      <xdr:rowOff>63667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54375D6-FF34-A35F-5C70-1BF2A8F302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0" y="932552"/>
              <a:ext cx="2520351" cy="226443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257175</xdr:colOff>
      <xdr:row>4</xdr:row>
      <xdr:rowOff>161924</xdr:rowOff>
    </xdr:from>
    <xdr:to>
      <xdr:col>7</xdr:col>
      <xdr:colOff>114300</xdr:colOff>
      <xdr:row>8</xdr:row>
      <xdr:rowOff>28575</xdr:rowOff>
    </xdr:to>
    <xdr:sp macro="" textlink="pivot!L4">
      <xdr:nvSpPr>
        <xdr:cNvPr id="18" name="TextBox 17">
          <a:extLst>
            <a:ext uri="{FF2B5EF4-FFF2-40B4-BE49-F238E27FC236}">
              <a16:creationId xmlns:a16="http://schemas.microsoft.com/office/drawing/2014/main" id="{C334A7ED-85D2-F4A1-F030-D1A0D282CF95}"/>
            </a:ext>
          </a:extLst>
        </xdr:cNvPr>
        <xdr:cNvSpPr txBox="1"/>
      </xdr:nvSpPr>
      <xdr:spPr>
        <a:xfrm>
          <a:off x="3305175" y="971549"/>
          <a:ext cx="1076325" cy="628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85157B-6841-44E4-BAD2-90027366A73B}" type="TxLink">
            <a:rPr lang="en-US" sz="2800" b="1" i="0" u="none" strike="noStrike">
              <a:solidFill>
                <a:schemeClr val="tx1"/>
              </a:solidFill>
              <a:latin typeface="Calibri"/>
              <a:ea typeface="Calibri"/>
              <a:cs typeface="Calibri"/>
            </a:rPr>
            <a:pPr algn="ctr"/>
            <a:t> 4,538 </a:t>
          </a:fld>
          <a:endParaRPr lang="en-US" sz="2800" b="1">
            <a:solidFill>
              <a:schemeClr val="tx1"/>
            </a:solidFill>
          </a:endParaRPr>
        </a:p>
      </xdr:txBody>
    </xdr:sp>
    <xdr:clientData/>
  </xdr:twoCellAnchor>
  <xdr:twoCellAnchor>
    <xdr:from>
      <xdr:col>5</xdr:col>
      <xdr:colOff>342900</xdr:colOff>
      <xdr:row>8</xdr:row>
      <xdr:rowOff>76200</xdr:rowOff>
    </xdr:from>
    <xdr:to>
      <xdr:col>7</xdr:col>
      <xdr:colOff>142875</xdr:colOff>
      <xdr:row>11</xdr:row>
      <xdr:rowOff>38100</xdr:rowOff>
    </xdr:to>
    <xdr:sp macro="" textlink="">
      <xdr:nvSpPr>
        <xdr:cNvPr id="19" name="TextBox 18">
          <a:extLst>
            <a:ext uri="{FF2B5EF4-FFF2-40B4-BE49-F238E27FC236}">
              <a16:creationId xmlns:a16="http://schemas.microsoft.com/office/drawing/2014/main" id="{F02CE600-2974-42FA-9712-AFBF1D0E282C}"/>
            </a:ext>
          </a:extLst>
        </xdr:cNvPr>
        <xdr:cNvSpPr txBox="1"/>
      </xdr:nvSpPr>
      <xdr:spPr>
        <a:xfrm>
          <a:off x="3390900" y="1647825"/>
          <a:ext cx="1019175" cy="533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1" u="none" strike="noStrike" baseline="0">
              <a:solidFill>
                <a:schemeClr val="tx2">
                  <a:lumMod val="60000"/>
                  <a:lumOff val="40000"/>
                </a:schemeClr>
              </a:solidFill>
              <a:latin typeface="Arial Black" panose="020B0A04020102020204" pitchFamily="34" charset="0"/>
              <a:ea typeface="Calibri"/>
              <a:cs typeface="Calibri"/>
            </a:rPr>
            <a:t>Total</a:t>
          </a:r>
          <a:r>
            <a:rPr lang="en-US" sz="800" b="1" i="0" u="none" strike="noStrike" baseline="0">
              <a:solidFill>
                <a:schemeClr val="tx2">
                  <a:lumMod val="60000"/>
                  <a:lumOff val="40000"/>
                </a:schemeClr>
              </a:solidFill>
              <a:latin typeface="Arial Black" panose="020B0A04020102020204" pitchFamily="34" charset="0"/>
              <a:ea typeface="Calibri"/>
              <a:cs typeface="Calibri"/>
            </a:rPr>
            <a:t> </a:t>
          </a:r>
          <a:r>
            <a:rPr lang="en-US" sz="800" b="1" i="1" u="none" strike="noStrike" baseline="0">
              <a:solidFill>
                <a:schemeClr val="tx2">
                  <a:lumMod val="60000"/>
                  <a:lumOff val="40000"/>
                </a:schemeClr>
              </a:solidFill>
              <a:latin typeface="Arial Black" panose="020B0A04020102020204" pitchFamily="34" charset="0"/>
              <a:ea typeface="Calibri"/>
              <a:cs typeface="Calibri"/>
            </a:rPr>
            <a:t>Vehicle</a:t>
          </a:r>
          <a:r>
            <a:rPr lang="en-US" sz="800" b="1" i="0" u="none" strike="noStrike" baseline="0">
              <a:solidFill>
                <a:schemeClr val="tx2">
                  <a:lumMod val="60000"/>
                  <a:lumOff val="40000"/>
                </a:schemeClr>
              </a:solidFill>
              <a:latin typeface="Arial Black" panose="020B0A04020102020204" pitchFamily="34" charset="0"/>
              <a:ea typeface="Calibri"/>
              <a:cs typeface="Calibri"/>
            </a:rPr>
            <a:t> </a:t>
          </a:r>
          <a:r>
            <a:rPr lang="en-US" sz="800" b="1" i="1" u="none" strike="noStrike" baseline="0">
              <a:solidFill>
                <a:schemeClr val="tx2">
                  <a:lumMod val="60000"/>
                  <a:lumOff val="40000"/>
                </a:schemeClr>
              </a:solidFill>
              <a:latin typeface="Arial Black" panose="020B0A04020102020204" pitchFamily="34" charset="0"/>
              <a:ea typeface="Calibri"/>
              <a:cs typeface="Calibri"/>
            </a:rPr>
            <a:t>Stolen</a:t>
          </a:r>
        </a:p>
      </xdr:txBody>
    </xdr:sp>
    <xdr:clientData/>
  </xdr:twoCellAnchor>
  <xdr:twoCellAnchor>
    <xdr:from>
      <xdr:col>5</xdr:col>
      <xdr:colOff>260589</xdr:colOff>
      <xdr:row>13</xdr:row>
      <xdr:rowOff>1</xdr:rowOff>
    </xdr:from>
    <xdr:to>
      <xdr:col>7</xdr:col>
      <xdr:colOff>143774</xdr:colOff>
      <xdr:row>15</xdr:row>
      <xdr:rowOff>26958</xdr:rowOff>
    </xdr:to>
    <xdr:sp macro="" textlink="pivot!L9">
      <xdr:nvSpPr>
        <xdr:cNvPr id="21" name="TextBox 20">
          <a:extLst>
            <a:ext uri="{FF2B5EF4-FFF2-40B4-BE49-F238E27FC236}">
              <a16:creationId xmlns:a16="http://schemas.microsoft.com/office/drawing/2014/main" id="{38E98911-79E6-45F8-B80B-DB33AACAB81E}"/>
            </a:ext>
          </a:extLst>
        </xdr:cNvPr>
        <xdr:cNvSpPr txBox="1"/>
      </xdr:nvSpPr>
      <xdr:spPr>
        <a:xfrm>
          <a:off x="3315778" y="2507053"/>
          <a:ext cx="1105260" cy="404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1E0365-5D7F-4574-8AFB-1508DDB3F174}" type="TxLink">
            <a:rPr lang="en-US" sz="2800" b="1" i="0" u="none" strike="noStrike">
              <a:solidFill>
                <a:schemeClr val="tx1"/>
              </a:solidFill>
              <a:latin typeface="Calibri"/>
              <a:ea typeface="Calibri"/>
              <a:cs typeface="Calibri"/>
            </a:rPr>
            <a:pPr marL="0" indent="0" algn="ctr"/>
            <a:t> 4,538 </a:t>
          </a:fld>
          <a:endParaRPr lang="en-US" sz="2800" b="1" i="0" u="none" strike="noStrike">
            <a:solidFill>
              <a:schemeClr val="tx1"/>
            </a:solidFill>
            <a:latin typeface="Calibri"/>
            <a:ea typeface="Calibri"/>
            <a:cs typeface="Calibri"/>
          </a:endParaRPr>
        </a:p>
      </xdr:txBody>
    </xdr:sp>
    <xdr:clientData/>
  </xdr:twoCellAnchor>
  <xdr:twoCellAnchor>
    <xdr:from>
      <xdr:col>5</xdr:col>
      <xdr:colOff>287546</xdr:colOff>
      <xdr:row>16</xdr:row>
      <xdr:rowOff>26958</xdr:rowOff>
    </xdr:from>
    <xdr:to>
      <xdr:col>7</xdr:col>
      <xdr:colOff>170730</xdr:colOff>
      <xdr:row>19</xdr:row>
      <xdr:rowOff>80873</xdr:rowOff>
    </xdr:to>
    <xdr:sp macro="" textlink="">
      <xdr:nvSpPr>
        <xdr:cNvPr id="24" name="TextBox 23">
          <a:extLst>
            <a:ext uri="{FF2B5EF4-FFF2-40B4-BE49-F238E27FC236}">
              <a16:creationId xmlns:a16="http://schemas.microsoft.com/office/drawing/2014/main" id="{43DFCFC9-D388-4072-B271-7B402129518F}"/>
            </a:ext>
          </a:extLst>
        </xdr:cNvPr>
        <xdr:cNvSpPr txBox="1"/>
      </xdr:nvSpPr>
      <xdr:spPr>
        <a:xfrm>
          <a:off x="3342735" y="3100118"/>
          <a:ext cx="1105259" cy="6200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1" u="none" strike="noStrike" baseline="0">
              <a:solidFill>
                <a:schemeClr val="tx2">
                  <a:lumMod val="60000"/>
                  <a:lumOff val="40000"/>
                </a:schemeClr>
              </a:solidFill>
              <a:latin typeface="Arial Black" panose="020B0A04020102020204" pitchFamily="34" charset="0"/>
              <a:ea typeface="Calibri"/>
              <a:cs typeface="Calibri"/>
            </a:rPr>
            <a:t>Total Theft in selected region</a:t>
          </a:r>
          <a:endParaRPr lang="en-US" sz="800" b="1" i="0" u="none" strike="noStrike" baseline="0">
            <a:solidFill>
              <a:schemeClr val="tx2">
                <a:lumMod val="60000"/>
                <a:lumOff val="40000"/>
              </a:schemeClr>
            </a:solidFill>
            <a:latin typeface="Arial Black" panose="020B0A04020102020204" pitchFamily="34" charset="0"/>
            <a:ea typeface="Calibri"/>
            <a:cs typeface="Calibri"/>
          </a:endParaRPr>
        </a:p>
      </xdr:txBody>
    </xdr:sp>
    <xdr:clientData/>
  </xdr:twoCellAnchor>
  <xdr:twoCellAnchor>
    <xdr:from>
      <xdr:col>5</xdr:col>
      <xdr:colOff>287546</xdr:colOff>
      <xdr:row>21</xdr:row>
      <xdr:rowOff>71885</xdr:rowOff>
    </xdr:from>
    <xdr:to>
      <xdr:col>7</xdr:col>
      <xdr:colOff>170731</xdr:colOff>
      <xdr:row>24</xdr:row>
      <xdr:rowOff>152400</xdr:rowOff>
    </xdr:to>
    <xdr:sp macro="" textlink="pivot!L14">
      <xdr:nvSpPr>
        <xdr:cNvPr id="25" name="TextBox 24">
          <a:extLst>
            <a:ext uri="{FF2B5EF4-FFF2-40B4-BE49-F238E27FC236}">
              <a16:creationId xmlns:a16="http://schemas.microsoft.com/office/drawing/2014/main" id="{A3D96947-9CCB-4B4F-9C2B-EC8142D5650E}"/>
            </a:ext>
          </a:extLst>
        </xdr:cNvPr>
        <xdr:cNvSpPr txBox="1"/>
      </xdr:nvSpPr>
      <xdr:spPr>
        <a:xfrm>
          <a:off x="3335546" y="4120010"/>
          <a:ext cx="1102385" cy="6520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223872-A1A7-4C6E-B510-865BE6F91BFA}" type="TxLink">
            <a:rPr lang="en-US" sz="4400" b="1" i="0" u="none" strike="noStrike">
              <a:solidFill>
                <a:schemeClr val="tx1"/>
              </a:solidFill>
              <a:latin typeface="Calibri"/>
              <a:ea typeface="Calibri"/>
              <a:cs typeface="Calibri"/>
            </a:rPr>
            <a:pPr marL="0" indent="0" algn="ctr"/>
            <a:t> 16 </a:t>
          </a:fld>
          <a:endParaRPr lang="en-US" sz="4400" b="1" i="0" u="none" strike="noStrike">
            <a:solidFill>
              <a:schemeClr val="tx1"/>
            </a:solidFill>
            <a:latin typeface="Calibri"/>
            <a:ea typeface="Calibri"/>
            <a:cs typeface="Calibri"/>
          </a:endParaRPr>
        </a:p>
      </xdr:txBody>
    </xdr:sp>
    <xdr:clientData/>
  </xdr:twoCellAnchor>
  <xdr:twoCellAnchor>
    <xdr:from>
      <xdr:col>5</xdr:col>
      <xdr:colOff>287546</xdr:colOff>
      <xdr:row>24</xdr:row>
      <xdr:rowOff>161745</xdr:rowOff>
    </xdr:from>
    <xdr:to>
      <xdr:col>7</xdr:col>
      <xdr:colOff>170730</xdr:colOff>
      <xdr:row>28</xdr:row>
      <xdr:rowOff>26958</xdr:rowOff>
    </xdr:to>
    <xdr:sp macro="" textlink="">
      <xdr:nvSpPr>
        <xdr:cNvPr id="27" name="TextBox 26">
          <a:extLst>
            <a:ext uri="{FF2B5EF4-FFF2-40B4-BE49-F238E27FC236}">
              <a16:creationId xmlns:a16="http://schemas.microsoft.com/office/drawing/2014/main" id="{69EB0C68-0E4D-454F-84E4-8C99C74C1086}"/>
            </a:ext>
          </a:extLst>
        </xdr:cNvPr>
        <xdr:cNvSpPr txBox="1"/>
      </xdr:nvSpPr>
      <xdr:spPr>
        <a:xfrm>
          <a:off x="3342735" y="4744528"/>
          <a:ext cx="1105259" cy="6200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1" u="none" strike="noStrike" baseline="0">
              <a:solidFill>
                <a:schemeClr val="tx2">
                  <a:lumMod val="60000"/>
                  <a:lumOff val="40000"/>
                </a:schemeClr>
              </a:solidFill>
              <a:latin typeface="Arial Black" panose="020B0A04020102020204" pitchFamily="34" charset="0"/>
              <a:ea typeface="Calibri"/>
              <a:cs typeface="Calibri"/>
            </a:rPr>
            <a:t>Theft based on average age</a:t>
          </a:r>
          <a:endParaRPr lang="en-US" sz="800" b="1" i="0" u="none" strike="noStrike" baseline="0">
            <a:solidFill>
              <a:schemeClr val="tx2">
                <a:lumMod val="60000"/>
                <a:lumOff val="40000"/>
              </a:schemeClr>
            </a:solidFill>
            <a:latin typeface="Arial Black" panose="020B0A04020102020204" pitchFamily="34" charset="0"/>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133350</xdr:rowOff>
    </xdr:from>
    <xdr:to>
      <xdr:col>19</xdr:col>
      <xdr:colOff>381000</xdr:colOff>
      <xdr:row>22</xdr:row>
      <xdr:rowOff>114300</xdr:rowOff>
    </xdr:to>
    <xdr:sp macro="" textlink="">
      <xdr:nvSpPr>
        <xdr:cNvPr id="3" name="TextBox 2">
          <a:extLst>
            <a:ext uri="{FF2B5EF4-FFF2-40B4-BE49-F238E27FC236}">
              <a16:creationId xmlns:a16="http://schemas.microsoft.com/office/drawing/2014/main" id="{FD38D48C-790F-FFA9-851A-88C575BD59EE}"/>
            </a:ext>
          </a:extLst>
        </xdr:cNvPr>
        <xdr:cNvSpPr txBox="1"/>
      </xdr:nvSpPr>
      <xdr:spPr>
        <a:xfrm>
          <a:off x="161925" y="133350"/>
          <a:ext cx="11801475" cy="417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FF0000"/>
              </a:solidFill>
            </a:rPr>
            <a:t>Recommendations</a:t>
          </a:r>
        </a:p>
        <a:p>
          <a:r>
            <a:rPr lang="en-US" b="1"/>
            <a:t>Vehicle Age</a:t>
          </a:r>
          <a:endParaRPr lang="en-US"/>
        </a:p>
        <a:p>
          <a:pPr lvl="1"/>
          <a:r>
            <a:rPr lang="en-US"/>
            <a:t>Vehicles aged </a:t>
          </a:r>
          <a:r>
            <a:rPr lang="en-US" b="1"/>
            <a:t>11–20 years</a:t>
          </a:r>
          <a:r>
            <a:rPr lang="en-US"/>
            <a:t> make up almost half of all stolen cars.</a:t>
          </a:r>
          <a:br>
            <a:rPr lang="en-US"/>
          </a:br>
          <a:r>
            <a:rPr lang="en-GH"/>
            <a:t>👉 </a:t>
          </a:r>
          <a:r>
            <a:rPr lang="en-US"/>
            <a:t>Owners of older vehicles should install </a:t>
          </a:r>
          <a:r>
            <a:rPr lang="en-US" b="1"/>
            <a:t>alarms, steering locks, and GPS trackers</a:t>
          </a:r>
          <a:r>
            <a:rPr lang="en-US"/>
            <a:t> to reduce their risk. Insurance companies should also </a:t>
          </a:r>
          <a:r>
            <a:rPr lang="en-US" b="1"/>
            <a:t>encourage anti-theft measures</a:t>
          </a:r>
          <a:r>
            <a:rPr lang="en-US"/>
            <a:t> by offering discounts for protected older vehicles.</a:t>
          </a:r>
        </a:p>
        <a:p>
          <a:r>
            <a:rPr lang="en-US" b="1"/>
            <a:t>Vehicle Type</a:t>
          </a:r>
          <a:endParaRPr lang="en-US"/>
        </a:p>
        <a:p>
          <a:pPr lvl="1"/>
          <a:r>
            <a:rPr lang="en-US" b="1"/>
            <a:t>Stationwagons, saloons, and hatchbacks</a:t>
          </a:r>
          <a:r>
            <a:rPr lang="en-US"/>
            <a:t> are stolen the most.</a:t>
          </a:r>
          <a:br>
            <a:rPr lang="en-US"/>
          </a:br>
          <a:r>
            <a:rPr lang="en-GH"/>
            <a:t>👉 </a:t>
          </a:r>
          <a:r>
            <a:rPr lang="en-US"/>
            <a:t>Police should </a:t>
          </a:r>
          <a:r>
            <a:rPr lang="en-US" b="1"/>
            <a:t>focus patrols and monitoring</a:t>
          </a:r>
          <a:r>
            <a:rPr lang="en-US"/>
            <a:t> on these vehicle types, and owners should be extra cautious when parking in open or unmonitored areas.</a:t>
          </a:r>
        </a:p>
        <a:p>
          <a:r>
            <a:rPr lang="en-US" b="1"/>
            <a:t>Vehicle Colour</a:t>
          </a:r>
          <a:endParaRPr lang="en-US"/>
        </a:p>
        <a:p>
          <a:pPr lvl="1"/>
          <a:r>
            <a:rPr lang="en-US" b="1"/>
            <a:t>Silver, white, and black vehicles</a:t>
          </a:r>
          <a:r>
            <a:rPr lang="en-US"/>
            <a:t> are targeted most often.</a:t>
          </a:r>
          <a:br>
            <a:rPr lang="en-US"/>
          </a:br>
          <a:r>
            <a:rPr lang="en-GH"/>
            <a:t>👉 </a:t>
          </a:r>
          <a:r>
            <a:rPr lang="en-US"/>
            <a:t>Owners of these cars should avoid parking in dark streets and should use </a:t>
          </a:r>
          <a:r>
            <a:rPr lang="en-US" b="1"/>
            <a:t>visible deterrents</a:t>
          </a:r>
          <a:r>
            <a:rPr lang="en-US"/>
            <a:t> like wheel clamps.</a:t>
          </a:r>
        </a:p>
        <a:p>
          <a:r>
            <a:rPr lang="en-US" b="1"/>
            <a:t>Day of the Week</a:t>
          </a:r>
          <a:endParaRPr lang="en-US"/>
        </a:p>
        <a:p>
          <a:pPr lvl="1"/>
          <a:r>
            <a:rPr lang="en-US" b="1"/>
            <a:t>Mondays and Tuesdays</a:t>
          </a:r>
          <a:r>
            <a:rPr lang="en-US"/>
            <a:t> record the highest thefts.</a:t>
          </a:r>
          <a:br>
            <a:rPr lang="en-US"/>
          </a:br>
          <a:r>
            <a:rPr lang="en-GH"/>
            <a:t>👉 </a:t>
          </a:r>
          <a:r>
            <a:rPr lang="en-US"/>
            <a:t>Vehicle owners should be more alert at the </a:t>
          </a:r>
          <a:r>
            <a:rPr lang="en-US" b="1"/>
            <a:t>start of the week</a:t>
          </a:r>
          <a:r>
            <a:rPr lang="en-US"/>
            <a:t>, and police should increase patrols on these days.</a:t>
          </a:r>
        </a:p>
        <a:p>
          <a:r>
            <a:rPr lang="en-US" b="1"/>
            <a:t>Month of the Year</a:t>
          </a:r>
          <a:endParaRPr lang="en-US"/>
        </a:p>
        <a:p>
          <a:pPr lvl="1"/>
          <a:r>
            <a:rPr lang="en-US" b="1"/>
            <a:t>March has the highest theft rate</a:t>
          </a:r>
          <a:r>
            <a:rPr lang="en-US"/>
            <a:t>, while April records the lowest.</a:t>
          </a:r>
          <a:br>
            <a:rPr lang="en-US"/>
          </a:br>
          <a:r>
            <a:rPr lang="en-GH"/>
            <a:t>👉 </a:t>
          </a:r>
          <a:r>
            <a:rPr lang="en-US"/>
            <a:t>Law enforcement should </a:t>
          </a:r>
          <a:r>
            <a:rPr lang="en-US" b="1"/>
            <a:t>increase campaigns and awareness drives</a:t>
          </a:r>
          <a:r>
            <a:rPr lang="en-US"/>
            <a:t> in February and March to prevent spikes, and communities should stay alert during these months.</a:t>
          </a:r>
        </a:p>
        <a:p>
          <a:r>
            <a:rPr lang="en-US" b="1"/>
            <a:t>Community and Regions</a:t>
          </a:r>
          <a:endParaRPr lang="en-US"/>
        </a:p>
        <a:p>
          <a:pPr lvl="1"/>
          <a:r>
            <a:rPr lang="en-US"/>
            <a:t>Some regions experience </a:t>
          </a:r>
          <a:r>
            <a:rPr lang="en-US" b="1"/>
            <a:t>higher theft volumes</a:t>
          </a:r>
          <a:r>
            <a:rPr lang="en-US"/>
            <a:t> than others.</a:t>
          </a:r>
          <a:br>
            <a:rPr lang="en-US"/>
          </a:br>
          <a:r>
            <a:rPr lang="en-GH"/>
            <a:t>👉 </a:t>
          </a:r>
          <a:r>
            <a:rPr lang="en-US"/>
            <a:t>Regional police should </a:t>
          </a:r>
          <a:r>
            <a:rPr lang="en-US" b="1"/>
            <a:t>analyze local hotspots</a:t>
          </a:r>
          <a:r>
            <a:rPr lang="en-US"/>
            <a:t> and allocate more resources (CCTV, street lighting, patrols) where thefts are concentrated. Community watch programs should also be strengthened in these areas.</a:t>
          </a:r>
        </a:p>
        <a:p>
          <a:endParaRPr lang="en-GH"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895.758069444448" backgroundQuery="1" createdVersion="8" refreshedVersion="8" minRefreshableVersion="3" recordCount="0" supportSubquery="1" supportAdvancedDrill="1" xr:uid="{E399293B-7A8A-43FD-9334-2CAD21AD6DF3}">
  <cacheSource type="external" connectionId="5"/>
  <cacheFields count="2">
    <cacheField name="[Measures].[Count of vehicle_id]" caption="Count of vehicle_id" numFmtId="0" hierarchy="32" level="32767"/>
    <cacheField name="[locations].[region].[region]" caption="region" numFmtId="0" hierarchy="1"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0" memberValueDatatype="130" unbalanced="0"/>
    <cacheHierarchy uniqueName="[stolen_vehicles].[year stolen]" caption="year stolen" attribute="1" defaultMemberUniqueName="[stolen_vehicles].[year stolen].[All]" allUniqueName="[stolen_vehicles].[year stolen].[All]" dimensionUniqueName="[stolen_vehicles]" displayFolder="" count="0" memberValueDatatype="20" unbalanced="0"/>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61458334" backgroundQuery="1" createdVersion="8" refreshedVersion="8" minRefreshableVersion="3" recordCount="0" supportSubquery="1" supportAdvancedDrill="1" xr:uid="{23A6B342-D54A-44EC-806E-B416D6526E59}">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Vehicle Age Group].[Vehicle Age Group]" caption="Vehicle Age Group" numFmtId="0" hierarchy="20" level="1">
      <sharedItems count="5">
        <s v="0-5 years"/>
        <s v="11-20 years"/>
        <s v="21-40 years"/>
        <s v="40+ years"/>
        <s v="6-10 years"/>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2" memberValueDatatype="130" unbalanced="0">
      <fieldsUsage count="2">
        <fieldUsage x="-1"/>
        <fieldUsage x="2"/>
      </fieldsUsage>
    </cacheHierarchy>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64699074" backgroundQuery="1" createdVersion="8" refreshedVersion="8" minRefreshableVersion="3" recordCount="0" supportSubquery="1" supportAdvancedDrill="1" xr:uid="{37FE551F-0CBC-40A4-AB9C-3DCDC9A30374}">
  <cacheSource type="external" connectionId="5"/>
  <cacheFields count="4">
    <cacheField name="[stolen_vehicles].[day stolen].[day stolen]" caption="day stolen" numFmtId="0" hierarchy="17" level="1">
      <sharedItems count="7">
        <s v="Fri"/>
        <s v="Mon"/>
        <s v="Sat"/>
        <s v="Sun"/>
        <s v="Thu"/>
        <s v="Tue"/>
        <s v="Wed"/>
      </sharedItems>
    </cacheField>
    <cacheField name="[Measures].[Count of vehicle_id]" caption="Count of vehicle_id" numFmtId="0" hierarchy="32" level="32767"/>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2"/>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3"/>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6770833" backgroundQuery="1" createdVersion="8" refreshedVersion="8" minRefreshableVersion="3" recordCount="0" supportSubquery="1" supportAdvancedDrill="1" xr:uid="{FA8F8B00-9822-4214-AAD9-FA8EAC2EBF00}">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vehicle_type].[vehicle_type]" caption="vehicle_type" numFmtId="0" hierarchy="9" level="1">
      <sharedItems count="26">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nknown"/>
        <s v="Utility"/>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2"/>
      </fieldsUsage>
    </cacheHierarchy>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68518515" backgroundQuery="1" createdVersion="8" refreshedVersion="8" minRefreshableVersion="3" recordCount="0" supportSubquery="1" supportAdvancedDrill="1" xr:uid="{22A6B75F-0E52-4070-9BCD-59650CD1D382}">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vehicle_type].[vehicle_type]" caption="vehicle_type" numFmtId="0" hierarchy="9" level="1">
      <sharedItems count="10">
        <s v="Boat Trailer"/>
        <s v="Hatchback"/>
        <s v="Light Van"/>
        <s v="Moped"/>
        <s v="Roadbike"/>
        <s v="Saloon"/>
        <s v="Stationwagon"/>
        <s v="Trailer"/>
        <s v="Trailer - Heavy"/>
        <s v="Utility"/>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2"/>
      </fieldsUsage>
    </cacheHierarchy>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69328701" backgroundQuery="1" createdVersion="8" refreshedVersion="8" minRefreshableVersion="3" recordCount="0" supportSubquery="1" supportAdvancedDrill="1" xr:uid="{616B4CD1-E444-4379-9BA6-CC3D9D62CD95}">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Month stolen].[Month stolen]" caption="Month stolen" numFmtId="0" hierarchy="16" level="1">
      <sharedItems count="7">
        <s v="Apr"/>
        <s v="Dec"/>
        <s v="Feb"/>
        <s v="Jan"/>
        <s v="Mar"/>
        <s v="Nov"/>
        <s v="Oct"/>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2" memberValueDatatype="130" unbalanced="0">
      <fieldsUsage count="2">
        <fieldUsage x="-1"/>
        <fieldUsage x="2"/>
      </fieldsUsage>
    </cacheHierarchy>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74768519" backgroundQuery="1" createdVersion="8" refreshedVersion="8" minRefreshableVersion="3" recordCount="0" supportSubquery="1" supportAdvancedDrill="1" xr:uid="{D4378405-734D-4AA1-994A-D354196C06E3}">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color].[color]" caption="color" numFmtId="0" hierarchy="13" level="1">
      <sharedItems count="14">
        <s v="Black"/>
        <s v="Blue"/>
        <s v="Brown"/>
        <s v="Cream"/>
        <s v="Gold"/>
        <s v="Green"/>
        <s v="Grey"/>
        <s v="Orange"/>
        <s v="Pink"/>
        <s v="Purple"/>
        <s v="Red"/>
        <s v="Silver"/>
        <s v="White"/>
        <s v="Yellow"/>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2" memberValueDatatype="130" unbalanced="0">
      <fieldsUsage count="2">
        <fieldUsage x="-1"/>
        <fieldUsage x="2"/>
      </fieldsUsage>
    </cacheHierarchy>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77893521" backgroundQuery="1" createdVersion="8" refreshedVersion="8" minRefreshableVersion="3" recordCount="0" supportSubquery="1" supportAdvancedDrill="1" xr:uid="{69EC47F7-650E-4E15-84D6-2C75E20465C5}">
  <cacheSource type="external" connectionId="5"/>
  <cacheFields count="4">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year stolen].[year stolen]" caption="year stolen" numFmtId="0" hierarchy="18"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stolen_vehicles].[year stolen].&amp;[2022]"/>
          </x15:cachedUniqueNames>
        </ext>
      </extLst>
    </cacheField>
    <cacheField name="[locations].[region].[region]" caption="region" numFmtId="0" hierarchy="1"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2"/>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78935184" backgroundQuery="1" createdVersion="8" refreshedVersion="8" minRefreshableVersion="3" recordCount="0" supportSubquery="1" supportAdvancedDrill="1" xr:uid="{FBCBD371-A418-43DF-98E4-79D97FFDCB05}">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year stolen].[year stolen]" caption="year stolen" numFmtId="0" hierarchy="18"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stolen_vehicles].[year stolen].&amp;[2021]"/>
            <x15:cachedUniqueName index="1" name="[stolen_vehicles].[year stolen].&amp;[2022]"/>
          </x15:cachedUniqueNames>
        </ext>
      </extLst>
    </cacheField>
    <cacheField name="[locations].[region].[region]" caption="region" numFmtId="0" hierarchy="1" level="1">
      <sharedItems count="13">
        <s v="Auckland"/>
        <s v="Bay of Plenty"/>
        <s v="Canterbury"/>
        <s v="Gisborne"/>
        <s v="Hawke's Bay"/>
        <s v="Manawatū-Whanganui"/>
        <s v="Nelson"/>
        <s v="Northland"/>
        <s v="Otago"/>
        <s v="Southland"/>
        <s v="Taranaki"/>
        <s v="Waikato"/>
        <s v="Wellington"/>
      </sharedItems>
    </cacheField>
    <cacheField name="[stolen_vehicles].[date_stolen].[date_stolen]" caption="date_stolen" numFmtId="0" hierarchy="14"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2" memberValueDatatype="7" unbalanced="0">
      <fieldsUsage count="2">
        <fieldUsage x="-1"/>
        <fieldUsage x="4"/>
      </fieldsUsage>
    </cacheHierarchy>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2"/>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79861108" backgroundQuery="1" createdVersion="8" refreshedVersion="8" minRefreshableVersion="3" recordCount="0" supportSubquery="1" supportAdvancedDrill="1" xr:uid="{6B834462-C81E-4F49-BA36-5B21F146A93A}">
  <cacheSource type="external" connectionId="5"/>
  <cacheFields count="5">
    <cacheField name="[stolen_vehicles].[day stolen].[day stolen]" caption="day stolen" numFmtId="0" hierarchy="17" level="1">
      <sharedItems count="7">
        <s v="Friday"/>
        <s v="Monday"/>
        <s v="Saturday"/>
        <s v="Sunday"/>
        <s v="Thursday"/>
        <s v="Tuesday"/>
        <s v="Wednesday"/>
      </sharedItems>
    </cacheField>
    <cacheField name="[Measures].[Count of vehicle_id]" caption="Count of vehicle_id" numFmtId="0" hierarchy="32" level="32767"/>
    <cacheField name="[stolen_vehicles].[vehicle_type].[vehicle_type]" caption="vehicle_type" numFmtId="0" hierarchy="9" level="1">
      <sharedItems count="10">
        <s v="Boat Trailer"/>
        <s v="Hatchback"/>
        <s v="Light Van"/>
        <s v="Moped"/>
        <s v="Roadbike"/>
        <s v="Saloon"/>
        <s v="Stationwagon"/>
        <s v="Trailer"/>
        <s v="Trailer - Heavy"/>
        <s v="Utility"/>
      </sharedItems>
    </cacheField>
    <cacheField name="[locations].[region].[region]" caption="region" numFmtId="0" hierarchy="1" level="1">
      <sharedItems containsSemiMixedTypes="0" containsNonDate="0" containsString="0"/>
    </cacheField>
    <cacheField name="[stolen_vehicles].[year stolen].[year stolen]" caption="year stolen" numFmtId="0" hierarchy="18"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3"/>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2"/>
      </fieldsUsage>
    </cacheHierarchy>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2" memberValueDatatype="130" unbalanced="0">
      <fieldsUsage count="2">
        <fieldUsage x="-1"/>
        <fieldUsage x="0"/>
      </fieldsUsage>
    </cacheHierarchy>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4"/>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80555554" backgroundQuery="1" createdVersion="8" refreshedVersion="8" minRefreshableVersion="3" recordCount="0" supportSubquery="1" supportAdvancedDrill="1" xr:uid="{C02379D5-3FED-4967-81BE-B4E7E30622EB}">
  <cacheSource type="external" connectionId="5"/>
  <cacheFields count="2">
    <cacheField name="[locations].[region].[region]" caption="region" numFmtId="0" hierarchy="1" level="1">
      <sharedItems containsSemiMixedTypes="0" containsNonDate="0" containsString="0"/>
    </cacheField>
    <cacheField name="[Measures].[Count of Vehicle Age Group]" caption="Count of Vehicle Age Group" numFmtId="0" hierarchy="37" level="32767"/>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0" memberValueDatatype="130" unbalanced="0"/>
    <cacheHierarchy uniqueName="[stolen_vehicles].[year stolen]" caption="year stolen" attribute="1" defaultMemberUniqueName="[stolen_vehicles].[year stolen].[All]" allUniqueName="[stolen_vehicles].[year stolen].[All]" dimensionUniqueName="[stolen_vehicles]" displayFolder="" count="0" memberValueDatatype="20" unbalanced="0"/>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83680556" backgroundQuery="1" createdVersion="8" refreshedVersion="8" minRefreshableVersion="3" recordCount="0" supportSubquery="1" supportAdvancedDrill="1" xr:uid="{4D7E3F98-C8C1-4D64-B8EA-1943B33D9838}">
  <cacheSource type="external" connectionId="5"/>
  <cacheFields count="3">
    <cacheField name="[Measures].[Count of vehicle_id]" caption="Count of vehicle_id" numFmtId="0" hierarchy="32" level="32767"/>
    <cacheField name="[stolen_vehicles].[year stolen].[year stolen]" caption="year stolen" numFmtId="0" hierarchy="18" level="1">
      <sharedItems containsSemiMixedTypes="0" containsNonDate="0" containsString="0"/>
    </cacheField>
    <cacheField name="[locations].[region].[region]" caption="region" numFmtId="0" hierarchy="1"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2"/>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0" memberValueDatatype="130" unbalanced="0"/>
    <cacheHierarchy uniqueName="[stolen_vehicles].[year stolen]" caption="year stolen" attribute="1" defaultMemberUniqueName="[stolen_vehicles].[year stolen].[All]" allUniqueName="[stolen_vehicles].[year stolen].[All]" dimensionUniqueName="[stolen_vehicles]" displayFolder="" count="2" memberValueDatatype="20" unbalanced="0">
      <fieldsUsage count="2">
        <fieldUsage x="-1"/>
        <fieldUsage x="1"/>
      </fieldsUsage>
    </cacheHierarchy>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hidden="1">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7687037035" backgroundQuery="1" createdVersion="8" refreshedVersion="8" minRefreshableVersion="3" recordCount="0" supportSubquery="1" supportAdvancedDrill="1" xr:uid="{DBF943AC-A859-42F9-AB36-233DFED9945E}">
  <cacheSource type="external" connectionId="5"/>
  <cacheFields count="2">
    <cacheField name="[Measures].[Average of vehicle age]" caption="Average of vehicle age" numFmtId="0" hierarchy="39" level="32767"/>
    <cacheField name="[locations].[region].[region]" caption="region" numFmtId="0" hierarchy="1" level="1">
      <sharedItems containsSemiMixedTypes="0" containsNonDate="0" containsString="0"/>
    </cacheField>
  </cacheFields>
  <cacheHierarchies count="40">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0" memberValueDatatype="130" unbalanced="0"/>
    <cacheHierarchy uniqueName="[stolen_vehicles].[year stolen]" caption="year stolen" attribute="1" defaultMemberUniqueName="[stolen_vehicles].[year stolen].[All]" allUniqueName="[stolen_vehicles].[year stolen].[All]" dimensionUniqueName="[stolen_vehicles]" displayFolder="" count="0" memberValueDatatype="20" unbalanced="0"/>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y uniqueName="[Measures].[Sum of vehicle age]" caption="Sum of vehicle age" measure="1" displayFolder="" measureGroup="stolen_vehicles" count="0" hidden="1">
      <extLst>
        <ext xmlns:x15="http://schemas.microsoft.com/office/spreadsheetml/2010/11/main" uri="{B97F6D7D-B522-45F9-BDA1-12C45D357490}">
          <x15:cacheHierarchy aggregatedColumn="19"/>
        </ext>
      </extLst>
    </cacheHierarchy>
    <cacheHierarchy uniqueName="[Measures].[Average of vehicle age]" caption="Average of vehicle age" measure="1" displayFolder="" measureGroup="stolen_vehicles"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5">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 name="stolen_vehicles_db_data_dictionary" uniqueName="[stolen_vehicles_db_data_dictionary]" caption="stolen_vehicles_db_data_dictionary"/>
  </dimensions>
  <measureGroups count="4">
    <measureGroup name="locations" caption="locations"/>
    <measureGroup name="make_details" caption="make_details"/>
    <measureGroup name="stolen_vehicles" caption="stolen_vehicles"/>
    <measureGroup name="stolen_vehicles_db_data_dictionary" caption="stolen_vehicles_db_data_dictiona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895.758050694443" backgroundQuery="1" createdVersion="3" refreshedVersion="8" minRefreshableVersion="3" recordCount="0" supportSubquery="1" supportAdvancedDrill="1" xr:uid="{6291D675-AE62-4CFE-AA4C-EE0A4780E790}">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stolen]" caption="Month stolen" attribute="1" defaultMemberUniqueName="[stolen_vehicles].[Month stolen].[All]" allUniqueName="[stolen_vehicles].[Month stolen].[All]" dimensionUniqueName="[stolen_vehicles]" displayFolder="" count="0" memberValueDatatype="130" unbalanced="0"/>
    <cacheHierarchy uniqueName="[stolen_vehicles].[day stolen]" caption="day stolen" attribute="1" defaultMemberUniqueName="[stolen_vehicles].[day stolen].[All]" allUniqueName="[stolen_vehicles].[day stolen].[All]" dimensionUniqueName="[stolen_vehicles]" displayFolder="" count="0" memberValueDatatype="130" unbalanced="0"/>
    <cacheHierarchy uniqueName="[stolen_vehicles].[year stolen]" caption="year stolen" attribute="1" defaultMemberUniqueName="[stolen_vehicles].[year stolen].[All]" allUniqueName="[stolen_vehicles].[year stolen].[All]" dimensionUniqueName="[stolen_vehicles]" displayFolder="" count="0" memberValueDatatype="20" unbalanced="0"/>
    <cacheHierarchy uniqueName="[stolen_vehicles].[vehicle age]" caption="vehicle age" attribute="1" defaultMemberUniqueName="[stolen_vehicles].[vehicle age].[All]" allUniqueName="[stolen_vehicles].[vehicle age].[All]" dimensionUniqueName="[stolen_vehicles]" displayFolder="" count="0" memberValueDatatype="20" unbalanced="0"/>
    <cacheHierarchy uniqueName="[stolen_vehicles].[Vehicle Age Group]" caption="Vehicle Age Group" attribute="1" defaultMemberUniqueName="[stolen_vehicles].[Vehicle Age Group].[All]" allUniqueName="[stolen_vehicles].[Vehicle Age Group].[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20" unbalanced="0"/>
    <cacheHierarchy uniqueName="[stolen_vehicles].[season]" caption="season" attribute="1" defaultMemberUniqueName="[stolen_vehicles].[season].[All]" allUniqueName="[stolen_vehicles].[season].[All]" dimensionUniqueName="[stolen_vehicles]" displayFolder="" count="0" memberValueDatatype="130" unbalanced="0"/>
    <cacheHierarchy uniqueName="[stolen_vehicles_db_data_dictionary].[Table]" caption="Table" attribute="1" defaultMemberUniqueName="[stolen_vehicles_db_data_dictionary].[Table].[All]" allUniqueName="[stolen_vehicles_db_data_dictionary].[Table].[All]" dimensionUniqueName="[stolen_vehicles_db_data_dictionary]" displayFolder="" count="0" memberValueDatatype="130" unbalanced="0"/>
    <cacheHierarchy uniqueName="[stolen_vehicles_db_data_dictionary].[Field]" caption="Field" attribute="1" defaultMemberUniqueName="[stolen_vehicles_db_data_dictionary].[Field].[All]" allUniqueName="[stolen_vehicles_db_data_dictionary].[Field].[All]" dimensionUniqueName="[stolen_vehicles_db_data_dictionary]" displayFolder="" count="0" memberValueDatatype="130" unbalanced="0"/>
    <cacheHierarchy uniqueName="[stolen_vehicles_db_data_dictionary].[Description]" caption="Description" attribute="1" defaultMemberUniqueName="[stolen_vehicles_db_data_dictionary].[Description].[All]" allUniqueName="[stolen_vehicles_db_data_dictionary].[Description].[All]" dimensionUniqueName="[stolen_vehicles_db_data_dictionary]"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stolen_vehicles_db_data_dictionary]" caption="__XL_Count stolen_vehicles_db_data_dictionary" measure="1" displayFolder="" measureGroup="stolen_vehicles_db_data_dictionary"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Average of vehicle_id]" caption="Average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type]" caption="Count of vehicle_type" measure="1" displayFolder="" measureGroup="stolen_vehicles"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location_id]" caption="Count of location_id" measure="1" displayFolder="" measureGroup="stolen_vehicles" count="0" hidden="1">
      <extLst>
        <ext xmlns:x15="http://schemas.microsoft.com/office/spreadsheetml/2010/11/main" uri="{B97F6D7D-B522-45F9-BDA1-12C45D357490}">
          <x15:cacheHierarchy aggregatedColumn="15"/>
        </ext>
      </extLst>
    </cacheHierarchy>
    <cacheHierarchy uniqueName="[Measures].[Count of Vehicle Age Group]" caption="Count of Vehicle Age Group" measure="1" displayFolder="" measureGroup="stolen_vehicle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76621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79A374-0AC0-4175-B226-7C49DE32E66B}" name="average"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L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vehicle age" fld="0" subtotal="average" baseField="0" baseItem="0"/>
  </dataFields>
  <formats count="1">
    <format dxfId="10">
      <pivotArea outline="0" collapsedLevelsAreSubtotals="1" fieldPosition="0"/>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caption="Average of vehicle_id"/>
    <pivotHierarchy dragToData="1"/>
    <pivotHierarchy dragToData="1"/>
    <pivotHierarchy dragToData="1" caption="Count of location_id"/>
    <pivotHierarchy dragToData="1"/>
    <pivotHierarchy dragToData="1"/>
    <pivotHierarchy dragToData="1" caption="Average of vehicle ag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6BE0A-952A-4FC5-9CD7-0FB50DF5A8EC}"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L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Vehicle Age Group" fld="1" subtotal="count" baseField="0" baseItem="0"/>
  </dataFields>
  <formats count="1">
    <format dxfId="11">
      <pivotArea outline="0" collapsedLevelsAreSubtotals="1" fieldPosition="0"/>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y dragToData="1"/>
    <pivotHierarchy dragToData="1" caption="Count of location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1B03B-B906-43D1-A4D5-7BB15E4F16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vehicle_id" fld="0" subtotal="count" baseField="0" baseItem="0" numFmtId="165"/>
  </dataFields>
  <formats count="1">
    <format dxfId="12">
      <pivotArea outline="0" collapsedLevelsAreSubtotals="1" fieldPosition="0"/>
    </format>
  </formats>
  <pivotHierarchies count="40">
    <pivotHierarchy dragToData="1"/>
    <pivotHierarchy multipleItemSelectionAllowed="1" dragToData="1">
      <members count="1" level="1">
        <member name="[locations].[region].&amp;[Bay of Plen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y dragToData="1"/>
    <pivotHierarchy dragToData="1" caption="Count of location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809C31-509C-490F-A8F8-5995C279E2AA}" name="PivotTable6" cacheId="16" applyNumberFormats="0" applyBorderFormats="0" applyFontFormats="0" applyPatternFormats="0" applyAlignmentFormats="0" applyWidthHeightFormats="1" dataCaption="Values" tag="438bad4c-46d7-4abf-bbfb-ce87ea2fd02a" updatedVersion="8" minRefreshableVersion="3" useAutoFormatting="1" subtotalHiddenItems="1" itemPrintTitles="1" createdVersion="8" indent="0" outline="1" outlineData="1" multipleFieldFilters="0" chartFormat="12" rowHeaderCaption="age group">
  <location ref="H18:I24"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1"/>
    </i>
    <i>
      <x v="2"/>
    </i>
    <i>
      <x/>
    </i>
    <i>
      <x v="4"/>
    </i>
    <i>
      <x v="3"/>
    </i>
    <i t="grand">
      <x/>
    </i>
  </rowItems>
  <colItems count="1">
    <i/>
  </colItems>
  <dataFields count="1">
    <dataField name="number of vehicle" fld="1" subtotal="count"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221834-43E7-499E-AB15-5A1F5D6A532C}" name="PivotTable2" cacheId="25" applyNumberFormats="0" applyBorderFormats="0" applyFontFormats="0" applyPatternFormats="0" applyAlignmentFormats="0" applyWidthHeightFormats="1" dataCaption="Values" tag="fdd79384-dcd5-4316-ba6c-45fdb30773d9" updatedVersion="8" minRefreshableVersion="3" useAutoFormatting="1" subtotalHiddenItems="1" itemPrintTitles="1" createdVersion="8" indent="0" outline="1" outlineData="1" multipleFieldFilters="0" chartFormat="15" rowHeaderCaption="vihicle type">
  <location ref="D2:E13"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6"/>
    </i>
    <i>
      <x v="5"/>
    </i>
    <i>
      <x v="1"/>
    </i>
    <i>
      <x v="7"/>
    </i>
    <i>
      <x v="9"/>
    </i>
    <i>
      <x v="4"/>
    </i>
    <i>
      <x v="3"/>
    </i>
    <i>
      <x v="2"/>
    </i>
    <i>
      <x/>
    </i>
    <i>
      <x v="8"/>
    </i>
    <i t="grand">
      <x/>
    </i>
  </rowItems>
  <colItems count="1">
    <i/>
  </colItems>
  <dataFields count="1">
    <dataField name="number of vehicle" fld="1"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filters count="1">
    <filter fld="2"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A32B1-60AC-4F0D-A913-EF7BA44B8A70}" name="PivotTable8" cacheId="37" applyNumberFormats="0" applyBorderFormats="0" applyFontFormats="0" applyPatternFormats="0" applyAlignmentFormats="0" applyWidthHeightFormats="1" dataCaption="Values" tag="72066331-7408-4423-85df-180b6ab87aac" updatedVersion="8" minRefreshableVersion="5" useAutoFormatting="1" subtotalHiddenItems="1" itemPrintTitles="1" createdVersion="8" indent="0" outline="1" outlineData="1" multipleFieldFilters="0" rowHeaderCaption="region">
  <location ref="I48:J62"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2">
        <item s="1" x="1"/>
        <item x="0"/>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3"/>
  </rowFields>
  <rowItems count="14">
    <i>
      <x/>
    </i>
    <i>
      <x v="1"/>
    </i>
    <i>
      <x v="2"/>
    </i>
    <i>
      <x v="3"/>
    </i>
    <i>
      <x v="4"/>
    </i>
    <i>
      <x v="5"/>
    </i>
    <i>
      <x v="6"/>
    </i>
    <i>
      <x v="7"/>
    </i>
    <i>
      <x v="8"/>
    </i>
    <i>
      <x v="9"/>
    </i>
    <i>
      <x v="10"/>
    </i>
    <i>
      <x v="11"/>
    </i>
    <i>
      <x v="12"/>
    </i>
    <i t="grand">
      <x/>
    </i>
  </rowItems>
  <colItems count="1">
    <i/>
  </colItems>
  <dataFields count="1">
    <dataField name="number of vehicle" fld="1"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filters count="1">
    <filter fld="4" type="dateBetween" evalOrder="-1" id="3" name="[stolen_vehicles].[date_stolen]">
      <autoFilter ref="A1">
        <filterColumn colId="0">
          <customFilters and="1">
            <customFilter operator="greaterThanOrEqual" val="44774"/>
            <customFilter operator="lessThanOrEqual" val="4486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079D5F-ABFF-45ED-A371-0FA0367DECB6}" name="PivotTable3" cacheId="28" applyNumberFormats="0" applyBorderFormats="0" applyFontFormats="0" applyPatternFormats="0" applyAlignmentFormats="0" applyWidthHeightFormats="1" dataCaption="Values" tag="f0ef44dd-51f3-48ee-94c1-0f304ecdafb1" updatedVersion="8" minRefreshableVersion="3" useAutoFormatting="1" subtotalHiddenItems="1" itemPrintTitles="1" createdVersion="8" indent="0" outline="1" outlineData="1" multipleFieldFilters="0" chartFormat="7" rowHeaderCaption="Month">
  <location ref="H2:I10"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v="4"/>
    </i>
    <i>
      <x v="2"/>
    </i>
    <i>
      <x v="3"/>
    </i>
    <i>
      <x v="1"/>
    </i>
    <i>
      <x v="5"/>
    </i>
    <i>
      <x v="6"/>
    </i>
    <i>
      <x/>
    </i>
    <i t="grand">
      <x/>
    </i>
  </rowItems>
  <colItems count="1">
    <i/>
  </colItems>
  <dataFields count="1">
    <dataField name="number of vehicle"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E7017E-5C29-4006-B4A8-3AE479F95A94}" name="PivotTable4" cacheId="31" applyNumberFormats="0" applyBorderFormats="0" applyFontFormats="0" applyPatternFormats="0" applyAlignmentFormats="0" applyWidthHeightFormats="1" dataCaption="Values" tag="9c4015dc-7068-42a7-936b-72bedefb3d9c" updatedVersion="8" minRefreshableVersion="3" useAutoFormatting="1" subtotalHiddenItems="1" itemPrintTitles="1" createdVersion="8" indent="0" outline="1" outlineData="1" multipleFieldFilters="0" chartFormat="25" rowHeaderCaption="Colour">
  <location ref="A13:B28"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5">
    <i>
      <x v="8"/>
    </i>
    <i>
      <x v="3"/>
    </i>
    <i>
      <x v="9"/>
    </i>
    <i>
      <x v="7"/>
    </i>
    <i>
      <x v="13"/>
    </i>
    <i>
      <x v="2"/>
    </i>
    <i>
      <x v="4"/>
    </i>
    <i>
      <x v="5"/>
    </i>
    <i>
      <x v="6"/>
    </i>
    <i>
      <x v="10"/>
    </i>
    <i>
      <x v="1"/>
    </i>
    <i>
      <x/>
    </i>
    <i>
      <x v="12"/>
    </i>
    <i>
      <x v="11"/>
    </i>
    <i t="grand">
      <x/>
    </i>
  </rowItems>
  <colItems count="1">
    <i/>
  </colItems>
  <dataFields count="1">
    <dataField name="number of vehicle" fld="1" subtotal="count" baseField="0" baseItem="0"/>
  </dataFields>
  <formats count="2">
    <format dxfId="14">
      <pivotArea grandRow="1" outline="0" collapsedLevelsAreSubtotals="1" fieldPosition="0"/>
    </format>
    <format dxfId="13">
      <pivotArea dataOnly="0" labelOnly="1" grandRow="1" outline="0" fieldPosition="0"/>
    </format>
  </formats>
  <chartFormats count="3">
    <chartFormat chart="9"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42891A-3B90-4041-A951-90CA7AB04EC7}" name="PivotTable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vehicle_id" fld="0" subtotal="count" baseField="0" baseItem="0" numFmtId="164"/>
  </dataFields>
  <formats count="1">
    <format dxfId="15">
      <pivotArea outline="0" collapsedLevelsAreSubtotals="1" fieldPosition="0"/>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974521-2BD6-48D0-89D0-4EE36B2FF5F9}" name="day by vehicke stolen" cacheId="19" applyNumberFormats="0" applyBorderFormats="0" applyFontFormats="0" applyPatternFormats="0" applyAlignmentFormats="0" applyWidthHeightFormats="1" dataCaption="Values" tag="504bdcc9-16fe-4f5e-8dba-c60c1a5a1b14" updatedVersion="8" minRefreshableVersion="3" useAutoFormatting="1" subtotalHiddenItems="1" itemPrintTitles="1" createdVersion="8" indent="0" outline="1" outlineData="1" multipleFieldFilters="0" chartFormat="11" rowHeaderCaption="Day">
  <location ref="A2:B10"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5"/>
    </i>
    <i>
      <x/>
    </i>
    <i>
      <x v="6"/>
    </i>
    <i>
      <x v="4"/>
    </i>
    <i>
      <x v="3"/>
    </i>
    <i>
      <x v="2"/>
    </i>
    <i t="grand">
      <x/>
    </i>
  </rowItems>
  <colItems count="1">
    <i/>
  </colItems>
  <dataFields count="1">
    <dataField name="number of vehicle" fld="1" subtotal="count" baseField="0" baseItem="0"/>
  </dataFields>
  <formats count="1">
    <format dxfId="16">
      <pivotArea dataOnly="0" grandRow="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6275B1-11BD-4220-96EB-2D241C71C134}" name="PivotTable13" cacheId="22" applyNumberFormats="0" applyBorderFormats="0" applyFontFormats="0" applyPatternFormats="0" applyAlignmentFormats="0" applyWidthHeightFormats="1" dataCaption="Values" tag="fdd79384-dcd5-4316-ba6c-45fdb30773d9" updatedVersion="8" minRefreshableVersion="3" useAutoFormatting="1" subtotalHiddenItems="1" itemPrintTitles="1" createdVersion="8" indent="0" outline="1" outlineData="1" multipleFieldFilters="0" chartFormat="15" rowHeaderCaption="vihicle type">
  <location ref="A35:B62"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number of vehicle" fld="1"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35AA2B-2A9D-450A-9CBF-329B057D4D31}" name="PivotTable5" cacheId="34" applyNumberFormats="0" applyBorderFormats="0" applyFontFormats="0" applyPatternFormats="0" applyAlignmentFormats="0" applyWidthHeightFormats="1" dataCaption="Values" tag="36bf77d2-e3fa-4569-aed7-35d9b3d836b8" updatedVersion="8" minRefreshableVersion="3" useAutoFormatting="1" subtotalHiddenItems="1" itemPrintTitles="1" createdVersion="8" indent="0" compact="0" compactData="0" multipleFieldFilters="0" chartFormat="5" rowHeaderCaption="Year">
  <location ref="H13:I15" firstHeaderRow="1" firstDataRow="1" firstDataCol="1"/>
  <pivotFields count="4">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sortType="descending" defaultSubtotal="0" defaultAttributeDrillState="1">
      <items count="1">
        <item s="1" x="0"/>
      </items>
    </pivotField>
    <pivotField compact="0" allDrilled="1" outline="0" subtotalTop="0" showAll="0" dataSourceSort="1" defaultSubtotal="0" defaultAttributeDrillState="1"/>
  </pivotFields>
  <rowFields count="1">
    <field x="2"/>
  </rowFields>
  <rowItems count="2">
    <i>
      <x/>
    </i>
    <i t="grand">
      <x/>
    </i>
  </rowItems>
  <colItems count="1">
    <i/>
  </colItems>
  <dataFields count="1">
    <dataField name="number of vehicle" fld="1"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vehic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354537-4F13-429E-BCBA-6DAEF273BF33}" name="PivotTable1" cacheId="40" applyNumberFormats="0" applyBorderFormats="0" applyFontFormats="0" applyPatternFormats="0" applyAlignmentFormats="0" applyWidthHeightFormats="1" dataCaption="Values" tag="fdd79384-dcd5-4316-ba6c-45fdb30773d9" updatedVersion="8" minRefreshableVersion="3" subtotalHiddenItems="1" itemPrintTitles="1" createdVersion="8" indent="0" outline="1" outlineData="1" multipleFieldFilters="0" chartFormat="15" rowHeaderCaption="Vehicle type">
  <location ref="J3:K14"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6"/>
    </i>
    <i>
      <x v="5"/>
    </i>
    <i>
      <x v="1"/>
    </i>
    <i>
      <x v="7"/>
    </i>
    <i>
      <x v="9"/>
    </i>
    <i>
      <x v="4"/>
    </i>
    <i>
      <x v="3"/>
    </i>
    <i>
      <x v="2"/>
    </i>
    <i>
      <x/>
    </i>
    <i>
      <x v="8"/>
    </i>
    <i t="grand">
      <x/>
    </i>
  </rowItems>
  <colItems count="1">
    <i/>
  </colItems>
  <dataFields count="1">
    <dataField name="# of vehicle" fld="1" subtotal="count" baseField="2" baseItem="9"/>
  </dataFields>
  <formats count="2">
    <format dxfId="9">
      <pivotArea field="2" type="button" dataOnly="0" labelOnly="1" outline="0" axis="axisRow" fieldPosition="0"/>
    </format>
    <format dxfId="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len_vehicles].[year stolen].&amp;[2022]"/>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f vehicle"/>
    <pivotHierarchy dragToData="1"/>
    <pivotHierarchy dragToData="1"/>
    <pivotHierarchy dragToData="1"/>
    <pivotHierarchy dragToData="1"/>
    <pivotHierarchy dragToData="1"/>
    <pivotHierarchy dragToData="1"/>
    <pivotHierarchy dragToData="1"/>
  </pivotHierarchies>
  <pivotTableStyleInfo name="PivotStyleLight16" showRowHeaders="0" showColHeaders="1" showRowStripes="0" showColStripes="0" showLastColumn="1"/>
  <filters count="1">
    <filter fld="2"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1C1FD9-976B-4FB1-92EE-CDBD6A90A2F6}" sourceName="[locations].[region]">
  <pivotTables>
    <pivotTable tabId="1" name="PivotTable6"/>
    <pivotTable tabId="1" name="day by vehicke stolen"/>
    <pivotTable tabId="1" name="PivotTable13"/>
    <pivotTable tabId="1" name="PivotTable2"/>
    <pivotTable tabId="1" name="PivotTable3"/>
    <pivotTable tabId="1" name="PivotTable4"/>
    <pivotTable tabId="1" name="PivotTable5"/>
    <pivotTable tabId="1" name="PivotTable8"/>
    <pivotTable tabId="2" name="PivotTable1"/>
    <pivotTable tabId="1" name="PivotTable10"/>
    <pivotTable tabId="1" name="PivotTable9"/>
    <pivotTable tabId="1" name="average"/>
  </pivotTables>
  <data>
    <olap pivotCacheId="276621869">
      <levels count="2">
        <level uniqueName="[locations].[region].[(All)]" sourceCaption="(All)" count="0"/>
        <level uniqueName="[locations].[region].[region]" sourceCaption="region" count="13">
          <ranges>
            <range startItem="0">
              <i n="[locations].[region].&amp;[Auckland]" c="Auckland"/>
              <i n="[locations].[region].&amp;[Bay of Plenty]" c="Bay of Plenty"/>
              <i n="[locations].[region].&amp;[Canterbury]" c="Canterbury"/>
              <i n="[locations].[region].&amp;[Gisborne]" c="Gisborne"/>
              <i n="[locations].[region].&amp;[Hawke's Bay]" c="Hawke's Bay"/>
              <i n="[locations].[region].&amp;[Manawatū-Whanganui]" c="Manawatū-Whanganui"/>
              <i n="[locations].[region].&amp;[Nelson]" c="Nelson"/>
              <i n="[locations].[region].&amp;[Northland]" c="Northland"/>
              <i n="[locations].[region].&amp;[Otago]" c="Otago"/>
              <i n="[locations].[region].&amp;[Southland]" c="Southland"/>
              <i n="[locations].[region].&amp;[Taranaki]" c="Taranaki"/>
              <i n="[locations].[region].&amp;[Waikato]" c="Waikato"/>
              <i n="[locations].[region].&amp;[Wellington]" c="Wellington"/>
            </range>
          </ranges>
        </level>
      </levels>
      <selections count="1">
        <selection n="[location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2CA3AF-BE36-4013-9213-68DD86E03CCE}" cache="Slicer_region" caption="Select Your Region" columnCount="2" level="1" rowHeight="24130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7A70-3418-45BF-9D0F-2977D22BCBAE}">
  <sheetPr>
    <tabColor rgb="FFFF0000"/>
  </sheetPr>
  <dimension ref="A2:L62"/>
  <sheetViews>
    <sheetView topLeftCell="D1" zoomScale="78" zoomScaleNormal="78" workbookViewId="0">
      <selection activeCell="L14" sqref="L14"/>
    </sheetView>
  </sheetViews>
  <sheetFormatPr defaultRowHeight="15" x14ac:dyDescent="0.2"/>
  <cols>
    <col min="1" max="1" width="11.375" bestFit="1" customWidth="1"/>
    <col min="2" max="2" width="17.375" customWidth="1"/>
    <col min="4" max="4" width="13.625" bestFit="1" customWidth="1"/>
    <col min="5" max="5" width="17.375" customWidth="1"/>
    <col min="6" max="6" width="12.5" customWidth="1"/>
    <col min="7" max="7" width="18.375" customWidth="1"/>
    <col min="8" max="8" width="13.625" bestFit="1" customWidth="1"/>
    <col min="9" max="9" width="19.25" bestFit="1" customWidth="1"/>
    <col min="10" max="10" width="17.375" customWidth="1"/>
    <col min="11" max="11" width="7.25" customWidth="1"/>
    <col min="12" max="12" width="21.625" bestFit="1" customWidth="1"/>
    <col min="13" max="13" width="26" customWidth="1"/>
    <col min="14" max="14" width="22.875" bestFit="1" customWidth="1"/>
    <col min="15" max="16" width="7.375" bestFit="1" customWidth="1"/>
    <col min="17" max="17" width="18" bestFit="1" customWidth="1"/>
    <col min="18" max="18" width="9.875" bestFit="1" customWidth="1"/>
  </cols>
  <sheetData>
    <row r="2" spans="1:12" ht="14.25" x14ac:dyDescent="0.2">
      <c r="A2" s="1" t="s">
        <v>24</v>
      </c>
      <c r="B2" t="s">
        <v>2</v>
      </c>
      <c r="D2" s="1" t="s">
        <v>25</v>
      </c>
      <c r="E2" t="s">
        <v>2</v>
      </c>
      <c r="F2" t="s">
        <v>48</v>
      </c>
      <c r="H2" s="1" t="s">
        <v>26</v>
      </c>
      <c r="I2" t="s">
        <v>2</v>
      </c>
    </row>
    <row r="3" spans="1:12" ht="14.25" x14ac:dyDescent="0.2">
      <c r="A3" s="2" t="s">
        <v>30</v>
      </c>
      <c r="B3" s="9">
        <v>762</v>
      </c>
      <c r="D3" s="2" t="s">
        <v>14</v>
      </c>
      <c r="E3" s="9">
        <v>945</v>
      </c>
      <c r="H3" s="2" t="s">
        <v>39</v>
      </c>
      <c r="I3" s="9">
        <v>1050</v>
      </c>
      <c r="L3" t="s">
        <v>1</v>
      </c>
    </row>
    <row r="4" spans="1:12" ht="14.25" x14ac:dyDescent="0.2">
      <c r="A4" s="2" t="s">
        <v>33</v>
      </c>
      <c r="B4" s="9">
        <v>708</v>
      </c>
      <c r="D4" s="2" t="s">
        <v>3</v>
      </c>
      <c r="E4" s="9">
        <v>851</v>
      </c>
      <c r="H4" s="2" t="s">
        <v>42</v>
      </c>
      <c r="I4" s="9">
        <v>758</v>
      </c>
      <c r="L4" s="7">
        <v>4538</v>
      </c>
    </row>
    <row r="5" spans="1:12" ht="14.25" x14ac:dyDescent="0.2">
      <c r="A5" s="2" t="s">
        <v>34</v>
      </c>
      <c r="B5" s="9">
        <v>654</v>
      </c>
      <c r="D5" s="2" t="s">
        <v>13</v>
      </c>
      <c r="E5" s="9">
        <v>644</v>
      </c>
      <c r="H5" s="2" t="s">
        <v>41</v>
      </c>
      <c r="I5" s="9">
        <v>740</v>
      </c>
    </row>
    <row r="6" spans="1:12" ht="14.25" x14ac:dyDescent="0.2">
      <c r="A6" s="2" t="s">
        <v>35</v>
      </c>
      <c r="B6" s="9">
        <v>625</v>
      </c>
      <c r="D6" s="2" t="s">
        <v>15</v>
      </c>
      <c r="E6" s="9">
        <v>582</v>
      </c>
      <c r="H6" s="2" t="s">
        <v>40</v>
      </c>
      <c r="I6" s="9">
        <v>642</v>
      </c>
    </row>
    <row r="7" spans="1:12" ht="14.25" x14ac:dyDescent="0.2">
      <c r="A7" s="2" t="s">
        <v>31</v>
      </c>
      <c r="B7" s="9">
        <v>618</v>
      </c>
      <c r="D7" s="2" t="s">
        <v>18</v>
      </c>
      <c r="E7" s="9">
        <v>466</v>
      </c>
      <c r="H7" s="2" t="s">
        <v>66</v>
      </c>
      <c r="I7" s="9">
        <v>559</v>
      </c>
    </row>
    <row r="8" spans="1:12" ht="14.25" x14ac:dyDescent="0.2">
      <c r="A8" s="2" t="s">
        <v>36</v>
      </c>
      <c r="B8" s="9">
        <v>595</v>
      </c>
      <c r="D8" s="2" t="s">
        <v>16</v>
      </c>
      <c r="E8" s="9">
        <v>297</v>
      </c>
      <c r="H8" s="2" t="s">
        <v>43</v>
      </c>
      <c r="I8" s="9">
        <v>462</v>
      </c>
      <c r="L8" t="s">
        <v>47</v>
      </c>
    </row>
    <row r="9" spans="1:12" ht="14.25" x14ac:dyDescent="0.2">
      <c r="A9" s="2" t="s">
        <v>32</v>
      </c>
      <c r="B9" s="9">
        <v>576</v>
      </c>
      <c r="D9" s="2" t="s">
        <v>17</v>
      </c>
      <c r="E9" s="9">
        <v>187</v>
      </c>
      <c r="H9" s="2" t="s">
        <v>67</v>
      </c>
      <c r="I9" s="9">
        <v>327</v>
      </c>
      <c r="L9" s="7">
        <v>4538</v>
      </c>
    </row>
    <row r="10" spans="1:12" ht="14.25" x14ac:dyDescent="0.2">
      <c r="A10" s="4" t="s">
        <v>0</v>
      </c>
      <c r="B10" s="10">
        <v>4538</v>
      </c>
      <c r="D10" s="2" t="s">
        <v>57</v>
      </c>
      <c r="E10" s="9">
        <v>154</v>
      </c>
      <c r="H10" s="2" t="s">
        <v>0</v>
      </c>
      <c r="I10" s="9">
        <v>4538</v>
      </c>
    </row>
    <row r="11" spans="1:12" ht="14.25" x14ac:dyDescent="0.2">
      <c r="D11" s="2" t="s">
        <v>63</v>
      </c>
      <c r="E11" s="9">
        <v>105</v>
      </c>
    </row>
    <row r="12" spans="1:12" ht="14.25" x14ac:dyDescent="0.2">
      <c r="D12" s="2" t="s">
        <v>50</v>
      </c>
      <c r="E12" s="9">
        <v>90</v>
      </c>
    </row>
    <row r="13" spans="1:12" ht="14.25" x14ac:dyDescent="0.2">
      <c r="A13" s="1" t="s">
        <v>27</v>
      </c>
      <c r="B13" t="s">
        <v>2</v>
      </c>
      <c r="D13" s="2" t="s">
        <v>0</v>
      </c>
      <c r="E13" s="9">
        <v>4321</v>
      </c>
      <c r="H13" s="1" t="s">
        <v>37</v>
      </c>
      <c r="I13" t="s">
        <v>2</v>
      </c>
      <c r="L13" t="s">
        <v>84</v>
      </c>
    </row>
    <row r="14" spans="1:12" ht="14.25" x14ac:dyDescent="0.2">
      <c r="A14" s="2" t="s">
        <v>68</v>
      </c>
      <c r="B14" s="9">
        <v>4</v>
      </c>
      <c r="H14">
        <v>2022</v>
      </c>
      <c r="I14" s="9">
        <v>2875</v>
      </c>
      <c r="L14" s="7">
        <v>16.401718818862935</v>
      </c>
    </row>
    <row r="15" spans="1:12" ht="14.25" x14ac:dyDescent="0.2">
      <c r="A15" s="2" t="s">
        <v>69</v>
      </c>
      <c r="B15" s="9">
        <v>9</v>
      </c>
      <c r="H15" t="s">
        <v>0</v>
      </c>
      <c r="I15" s="9">
        <v>2875</v>
      </c>
    </row>
    <row r="16" spans="1:12" ht="14.25" x14ac:dyDescent="0.2">
      <c r="A16" s="2" t="s">
        <v>70</v>
      </c>
      <c r="B16" s="9">
        <v>26</v>
      </c>
    </row>
    <row r="17" spans="1:9" ht="14.25" x14ac:dyDescent="0.2">
      <c r="A17" s="2" t="s">
        <v>71</v>
      </c>
      <c r="B17" s="9">
        <v>35</v>
      </c>
    </row>
    <row r="18" spans="1:9" ht="14.25" x14ac:dyDescent="0.2">
      <c r="A18" s="2" t="s">
        <v>72</v>
      </c>
      <c r="B18" s="9">
        <v>39</v>
      </c>
      <c r="H18" s="1" t="s">
        <v>28</v>
      </c>
      <c r="I18" t="s">
        <v>2</v>
      </c>
    </row>
    <row r="19" spans="1:9" ht="14.25" x14ac:dyDescent="0.2">
      <c r="A19" s="2" t="s">
        <v>73</v>
      </c>
      <c r="B19" s="9">
        <v>49</v>
      </c>
      <c r="H19" s="2" t="s">
        <v>5</v>
      </c>
      <c r="I19" s="9">
        <v>2074</v>
      </c>
    </row>
    <row r="20" spans="1:9" ht="14.25" x14ac:dyDescent="0.2">
      <c r="A20" s="2" t="s">
        <v>7</v>
      </c>
      <c r="B20" s="9">
        <v>77</v>
      </c>
      <c r="H20" s="2" t="s">
        <v>19</v>
      </c>
      <c r="I20" s="9">
        <v>1255</v>
      </c>
    </row>
    <row r="21" spans="1:9" ht="14.25" x14ac:dyDescent="0.2">
      <c r="A21" s="2" t="s">
        <v>4</v>
      </c>
      <c r="B21" s="9">
        <v>224</v>
      </c>
      <c r="H21" s="2" t="s">
        <v>20</v>
      </c>
      <c r="I21" s="9">
        <v>620</v>
      </c>
    </row>
    <row r="22" spans="1:9" ht="14.25" x14ac:dyDescent="0.2">
      <c r="A22" s="2" t="s">
        <v>8</v>
      </c>
      <c r="B22" s="9">
        <v>378</v>
      </c>
      <c r="H22" s="2" t="s">
        <v>21</v>
      </c>
      <c r="I22" s="9">
        <v>518</v>
      </c>
    </row>
    <row r="23" spans="1:9" ht="14.25" x14ac:dyDescent="0.2">
      <c r="A23" s="2" t="s">
        <v>12</v>
      </c>
      <c r="B23" s="9">
        <v>390</v>
      </c>
      <c r="H23" s="2" t="s">
        <v>22</v>
      </c>
      <c r="I23" s="9">
        <v>71</v>
      </c>
    </row>
    <row r="24" spans="1:9" ht="14.25" x14ac:dyDescent="0.2">
      <c r="A24" s="2" t="s">
        <v>11</v>
      </c>
      <c r="B24" s="9">
        <v>512</v>
      </c>
      <c r="H24" s="2" t="s">
        <v>0</v>
      </c>
      <c r="I24" s="9">
        <v>4538</v>
      </c>
    </row>
    <row r="25" spans="1:9" ht="14.25" x14ac:dyDescent="0.2">
      <c r="A25" s="2" t="s">
        <v>9</v>
      </c>
      <c r="B25" s="9">
        <v>589</v>
      </c>
    </row>
    <row r="26" spans="1:9" ht="14.25" x14ac:dyDescent="0.2">
      <c r="A26" s="2" t="s">
        <v>10</v>
      </c>
      <c r="B26" s="9">
        <v>934</v>
      </c>
    </row>
    <row r="27" spans="1:9" ht="14.25" x14ac:dyDescent="0.2">
      <c r="A27" s="2" t="s">
        <v>6</v>
      </c>
      <c r="B27" s="9">
        <v>1272</v>
      </c>
    </row>
    <row r="28" spans="1:9" ht="14.25" x14ac:dyDescent="0.2">
      <c r="A28" s="4" t="s">
        <v>0</v>
      </c>
      <c r="B28" s="10">
        <v>4538</v>
      </c>
    </row>
    <row r="31" spans="1:9" ht="14.25" x14ac:dyDescent="0.2">
      <c r="G31" t="s">
        <v>1</v>
      </c>
    </row>
    <row r="32" spans="1:9" ht="14.25" x14ac:dyDescent="0.2">
      <c r="G32" s="3">
        <v>4538</v>
      </c>
      <c r="H32">
        <f>GETPIVOTDATA("[Measures].[Count of vehicle_id]",$G$31)</f>
        <v>4538</v>
      </c>
    </row>
    <row r="35" spans="1:10" ht="14.25" x14ac:dyDescent="0.2">
      <c r="A35" s="1" t="s">
        <v>25</v>
      </c>
      <c r="B35" t="s">
        <v>2</v>
      </c>
    </row>
    <row r="36" spans="1:10" ht="14.25" x14ac:dyDescent="0.2">
      <c r="A36" s="2" t="s">
        <v>18</v>
      </c>
      <c r="B36" s="9">
        <v>466</v>
      </c>
    </row>
    <row r="37" spans="1:10" ht="14.25" x14ac:dyDescent="0.2">
      <c r="A37" s="2" t="s">
        <v>49</v>
      </c>
      <c r="B37" s="9">
        <v>11</v>
      </c>
    </row>
    <row r="38" spans="1:10" ht="14.25" x14ac:dyDescent="0.2">
      <c r="A38" s="2" t="s">
        <v>50</v>
      </c>
      <c r="B38" s="9">
        <v>90</v>
      </c>
    </row>
    <row r="39" spans="1:10" ht="14.25" x14ac:dyDescent="0.2">
      <c r="A39" s="2" t="s">
        <v>15</v>
      </c>
      <c r="B39" s="9">
        <v>582</v>
      </c>
    </row>
    <row r="40" spans="1:10" ht="14.25" x14ac:dyDescent="0.2">
      <c r="A40" s="2" t="s">
        <v>51</v>
      </c>
      <c r="B40" s="9">
        <v>2</v>
      </c>
    </row>
    <row r="41" spans="1:10" ht="14.25" x14ac:dyDescent="0.2">
      <c r="A41" s="2" t="s">
        <v>52</v>
      </c>
      <c r="B41" s="9">
        <v>4</v>
      </c>
    </row>
    <row r="42" spans="1:10" ht="14.25" x14ac:dyDescent="0.2">
      <c r="A42" s="2" t="s">
        <v>14</v>
      </c>
      <c r="B42" s="9">
        <v>945</v>
      </c>
    </row>
    <row r="43" spans="1:10" ht="14.25" x14ac:dyDescent="0.2">
      <c r="A43" s="2" t="s">
        <v>53</v>
      </c>
      <c r="B43" s="9">
        <v>40</v>
      </c>
    </row>
    <row r="44" spans="1:10" ht="14.25" x14ac:dyDescent="0.2">
      <c r="A44" s="2" t="s">
        <v>54</v>
      </c>
      <c r="B44" s="9">
        <v>1</v>
      </c>
    </row>
    <row r="45" spans="1:10" ht="14.25" x14ac:dyDescent="0.2">
      <c r="A45" s="2" t="s">
        <v>3</v>
      </c>
      <c r="B45" s="9">
        <v>851</v>
      </c>
    </row>
    <row r="46" spans="1:10" ht="14.25" x14ac:dyDescent="0.2">
      <c r="A46" s="2" t="s">
        <v>16</v>
      </c>
      <c r="B46" s="9">
        <v>297</v>
      </c>
    </row>
    <row r="47" spans="1:10" ht="14.25" x14ac:dyDescent="0.2">
      <c r="A47" s="2" t="s">
        <v>55</v>
      </c>
      <c r="B47" s="9">
        <v>42</v>
      </c>
    </row>
    <row r="48" spans="1:10" ht="14.25" x14ac:dyDescent="0.2">
      <c r="A48" s="2" t="s">
        <v>17</v>
      </c>
      <c r="B48" s="9">
        <v>187</v>
      </c>
      <c r="I48" s="1" t="s">
        <v>29</v>
      </c>
      <c r="J48" t="s">
        <v>2</v>
      </c>
    </row>
    <row r="49" spans="1:10" ht="14.25" x14ac:dyDescent="0.2">
      <c r="A49" s="2" t="s">
        <v>86</v>
      </c>
      <c r="B49" s="9">
        <v>2</v>
      </c>
      <c r="I49" s="2" t="s">
        <v>87</v>
      </c>
      <c r="J49" s="9">
        <v>1630</v>
      </c>
    </row>
    <row r="50" spans="1:10" ht="14.25" x14ac:dyDescent="0.2">
      <c r="A50" s="2" t="s">
        <v>56</v>
      </c>
      <c r="B50" s="9">
        <v>15</v>
      </c>
      <c r="I50" s="2" t="s">
        <v>85</v>
      </c>
      <c r="J50" s="9">
        <v>445</v>
      </c>
    </row>
    <row r="51" spans="1:10" ht="14.25" x14ac:dyDescent="0.2">
      <c r="A51" s="2" t="s">
        <v>57</v>
      </c>
      <c r="B51" s="9">
        <v>154</v>
      </c>
      <c r="I51" s="2" t="s">
        <v>74</v>
      </c>
      <c r="J51" s="9">
        <v>660</v>
      </c>
    </row>
    <row r="52" spans="1:10" ht="14.25" x14ac:dyDescent="0.2">
      <c r="A52" s="2" t="s">
        <v>58</v>
      </c>
      <c r="B52" s="9">
        <v>6</v>
      </c>
      <c r="I52" s="2" t="s">
        <v>75</v>
      </c>
      <c r="J52" s="9">
        <v>175</v>
      </c>
    </row>
    <row r="53" spans="1:10" ht="14.25" x14ac:dyDescent="0.2">
      <c r="A53" s="2" t="s">
        <v>59</v>
      </c>
      <c r="B53" s="9">
        <v>7</v>
      </c>
      <c r="I53" s="2" t="s">
        <v>76</v>
      </c>
      <c r="J53" s="9">
        <v>100</v>
      </c>
    </row>
    <row r="54" spans="1:10" ht="14.25" x14ac:dyDescent="0.2">
      <c r="A54" s="2" t="s">
        <v>13</v>
      </c>
      <c r="B54" s="9">
        <v>644</v>
      </c>
      <c r="I54" s="2" t="s">
        <v>77</v>
      </c>
      <c r="J54" s="9">
        <v>139</v>
      </c>
    </row>
    <row r="55" spans="1:10" ht="14.25" x14ac:dyDescent="0.2">
      <c r="A55" s="2" t="s">
        <v>60</v>
      </c>
      <c r="B55" s="9">
        <v>17</v>
      </c>
      <c r="I55" s="2" t="s">
        <v>78</v>
      </c>
      <c r="J55" s="9">
        <v>92</v>
      </c>
    </row>
    <row r="56" spans="1:10" ht="14.25" x14ac:dyDescent="0.2">
      <c r="A56" s="2" t="s">
        <v>61</v>
      </c>
      <c r="B56" s="9">
        <v>12</v>
      </c>
      <c r="I56" s="2" t="s">
        <v>79</v>
      </c>
      <c r="J56" s="9">
        <v>234</v>
      </c>
    </row>
    <row r="57" spans="1:10" ht="14.25" x14ac:dyDescent="0.2">
      <c r="A57" s="2" t="s">
        <v>23</v>
      </c>
      <c r="B57" s="9">
        <v>44</v>
      </c>
      <c r="I57" s="2" t="s">
        <v>80</v>
      </c>
      <c r="J57" s="9">
        <v>139</v>
      </c>
    </row>
    <row r="58" spans="1:10" ht="14.25" x14ac:dyDescent="0.2">
      <c r="A58" s="2" t="s">
        <v>62</v>
      </c>
      <c r="B58" s="9">
        <v>8</v>
      </c>
      <c r="I58" s="2" t="s">
        <v>38</v>
      </c>
      <c r="J58" s="9">
        <v>26</v>
      </c>
    </row>
    <row r="59" spans="1:10" ht="14.25" x14ac:dyDescent="0.2">
      <c r="A59" s="2" t="s">
        <v>63</v>
      </c>
      <c r="B59" s="9">
        <v>105</v>
      </c>
      <c r="I59" s="2" t="s">
        <v>81</v>
      </c>
      <c r="J59" s="9">
        <v>112</v>
      </c>
    </row>
    <row r="60" spans="1:10" ht="14.25" x14ac:dyDescent="0.2">
      <c r="A60" s="2" t="s">
        <v>64</v>
      </c>
      <c r="B60" s="9">
        <v>1</v>
      </c>
      <c r="I60" s="2" t="s">
        <v>82</v>
      </c>
      <c r="J60" s="9">
        <v>369</v>
      </c>
    </row>
    <row r="61" spans="1:10" ht="14.25" x14ac:dyDescent="0.2">
      <c r="A61" s="2" t="s">
        <v>65</v>
      </c>
      <c r="B61" s="9">
        <v>5</v>
      </c>
      <c r="I61" s="2" t="s">
        <v>83</v>
      </c>
      <c r="J61" s="9">
        <v>417</v>
      </c>
    </row>
    <row r="62" spans="1:10" x14ac:dyDescent="0.2">
      <c r="A62" s="2" t="s">
        <v>0</v>
      </c>
      <c r="B62" s="9">
        <v>4538</v>
      </c>
      <c r="I62" s="2" t="s">
        <v>0</v>
      </c>
      <c r="J62" s="9">
        <v>4538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19195-6432-454D-9BD0-DF530BF6FB5D}">
  <sheetPr>
    <tabColor theme="9"/>
  </sheetPr>
  <dimension ref="J2:K14"/>
  <sheetViews>
    <sheetView showGridLines="0" tabSelected="1" zoomScale="95" zoomScaleNormal="95" workbookViewId="0">
      <selection activeCell="F12" sqref="F12"/>
    </sheetView>
  </sheetViews>
  <sheetFormatPr defaultRowHeight="14.25" x14ac:dyDescent="0.2"/>
  <cols>
    <col min="3" max="3" width="8" customWidth="1"/>
    <col min="4" max="8" width="8"/>
    <col min="9" max="9" width="2.625" customWidth="1"/>
    <col min="10" max="10" width="14.375" customWidth="1"/>
    <col min="11" max="11" width="22.875" customWidth="1"/>
    <col min="12" max="12" width="1.5" customWidth="1"/>
    <col min="13" max="13" width="2.25" customWidth="1"/>
  </cols>
  <sheetData>
    <row r="2" spans="10:11" ht="18" x14ac:dyDescent="0.2">
      <c r="J2" s="8" t="s">
        <v>44</v>
      </c>
      <c r="K2" s="8"/>
    </row>
    <row r="3" spans="10:11" ht="15" x14ac:dyDescent="0.25">
      <c r="J3" s="5" t="s">
        <v>45</v>
      </c>
      <c r="K3" s="6" t="s">
        <v>46</v>
      </c>
    </row>
    <row r="4" spans="10:11" x14ac:dyDescent="0.2">
      <c r="J4" s="2" t="s">
        <v>14</v>
      </c>
      <c r="K4" s="9">
        <v>945</v>
      </c>
    </row>
    <row r="5" spans="10:11" x14ac:dyDescent="0.2">
      <c r="J5" s="2" t="s">
        <v>3</v>
      </c>
      <c r="K5" s="9">
        <v>851</v>
      </c>
    </row>
    <row r="6" spans="10:11" x14ac:dyDescent="0.2">
      <c r="J6" s="2" t="s">
        <v>13</v>
      </c>
      <c r="K6" s="9">
        <v>644</v>
      </c>
    </row>
    <row r="7" spans="10:11" x14ac:dyDescent="0.2">
      <c r="J7" s="2" t="s">
        <v>15</v>
      </c>
      <c r="K7" s="9">
        <v>582</v>
      </c>
    </row>
    <row r="8" spans="10:11" x14ac:dyDescent="0.2">
      <c r="J8" s="2" t="s">
        <v>18</v>
      </c>
      <c r="K8" s="9">
        <v>466</v>
      </c>
    </row>
    <row r="9" spans="10:11" x14ac:dyDescent="0.2">
      <c r="J9" s="2" t="s">
        <v>16</v>
      </c>
      <c r="K9" s="9">
        <v>297</v>
      </c>
    </row>
    <row r="10" spans="10:11" x14ac:dyDescent="0.2">
      <c r="J10" s="2" t="s">
        <v>17</v>
      </c>
      <c r="K10" s="9">
        <v>187</v>
      </c>
    </row>
    <row r="11" spans="10:11" x14ac:dyDescent="0.2">
      <c r="J11" s="2" t="s">
        <v>57</v>
      </c>
      <c r="K11" s="9">
        <v>154</v>
      </c>
    </row>
    <row r="12" spans="10:11" x14ac:dyDescent="0.2">
      <c r="J12" s="2" t="s">
        <v>63</v>
      </c>
      <c r="K12" s="9">
        <v>105</v>
      </c>
    </row>
    <row r="13" spans="10:11" x14ac:dyDescent="0.2">
      <c r="J13" s="2" t="s">
        <v>50</v>
      </c>
      <c r="K13" s="9">
        <v>90</v>
      </c>
    </row>
    <row r="14" spans="10:11" x14ac:dyDescent="0.2">
      <c r="J14" s="2" t="s">
        <v>0</v>
      </c>
      <c r="K14" s="9">
        <v>4321</v>
      </c>
    </row>
  </sheetData>
  <mergeCells count="1">
    <mergeCell ref="J2:K2"/>
  </mergeCells>
  <conditionalFormatting pivot="1" sqref="K4:K13">
    <cfRule type="dataBar" priority="1">
      <dataBar>
        <cfvo type="min"/>
        <cfvo type="max"/>
        <color rgb="FF008AEF"/>
      </dataBar>
      <extLst>
        <ext xmlns:x14="http://schemas.microsoft.com/office/spreadsheetml/2009/9/main" uri="{B025F937-C7B1-47D3-B67F-A62EFF666E3E}">
          <x14:id>{D380CA40-A2AE-46FD-BBFD-EE7152DF267A}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380CA40-A2AE-46FD-BBFD-EE7152DF267A}">
            <x14:dataBar minLength="0" maxLength="100" border="1" negativeBarBorderColorSameAsPositive="0">
              <x14:cfvo type="autoMin"/>
              <x14:cfvo type="autoMax"/>
              <x14:borderColor rgb="FF008AEF"/>
              <x14:negativeFillColor rgb="FFFF0000"/>
              <x14:negativeBorderColor rgb="FFFF0000"/>
              <x14:axisColor rgb="FF000000"/>
            </x14:dataBar>
          </x14:cfRule>
          <xm:sqref>K4:K13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18D01-3B65-4E21-87A3-CDFE8C2DE45D}">
  <sheetPr>
    <tabColor rgb="FF00B050"/>
  </sheetPr>
  <dimension ref="A1"/>
  <sheetViews>
    <sheetView showGridLines="0" workbookViewId="0">
      <selection activeCell="D5" sqref="D5"/>
    </sheetView>
  </sheetViews>
  <sheetFormatPr defaultRowHeight="14.2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A43D342-238B-420B-AA3D-762885432010}">
  <ds:schemaRefs/>
</ds:datastoreItem>
</file>

<file path=customXml/itemProps2.xml><?xml version="1.0" encoding="utf-8"?>
<ds:datastoreItem xmlns:ds="http://schemas.openxmlformats.org/officeDocument/2006/customXml" ds:itemID="{BB54E5A6-C61E-4943-803A-F6E1559512E4}">
  <ds:schemaRefs/>
</ds:datastoreItem>
</file>

<file path=customXml/itemProps3.xml><?xml version="1.0" encoding="utf-8"?>
<ds:datastoreItem xmlns:ds="http://schemas.openxmlformats.org/officeDocument/2006/customXml" ds:itemID="{53C8260F-4F6E-47ED-B665-77B159E56F0B}">
  <ds:schemaRefs/>
</ds:datastoreItem>
</file>

<file path=customXml/itemProps4.xml><?xml version="1.0" encoding="utf-8"?>
<ds:datastoreItem xmlns:ds="http://schemas.openxmlformats.org/officeDocument/2006/customXml" ds:itemID="{C609272E-2139-423E-A442-B5CF4B519650}">
  <ds:schemaRefs/>
</ds:datastoreItem>
</file>

<file path=customXml/itemProps5.xml><?xml version="1.0" encoding="utf-8"?>
<ds:datastoreItem xmlns:ds="http://schemas.openxmlformats.org/officeDocument/2006/customXml" ds:itemID="{46C1C1A3-585F-48FC-9DA4-97959D3A0DEE}">
  <ds:schemaRefs/>
</ds:datastoreItem>
</file>

<file path=customXml/itemProps6.xml><?xml version="1.0" encoding="utf-8"?>
<ds:datastoreItem xmlns:ds="http://schemas.openxmlformats.org/officeDocument/2006/customXml" ds:itemID="{BF2F5333-2E7F-4B9E-A9AB-1245E5A21F6C}">
  <ds:schemaRefs/>
</ds:datastoreItem>
</file>

<file path=customXml/itemProps7.xml><?xml version="1.0" encoding="utf-8"?>
<ds:datastoreItem xmlns:ds="http://schemas.openxmlformats.org/officeDocument/2006/customXml" ds:itemID="{F74F83BB-35EB-48A3-BE54-E3A1B455254B}">
  <ds:schemaRefs/>
</ds:datastoreItem>
</file>

<file path=customXml/itemProps8.xml><?xml version="1.0" encoding="utf-8"?>
<ds:datastoreItem xmlns:ds="http://schemas.openxmlformats.org/officeDocument/2006/customXml" ds:itemID="{23C098EE-FF6C-403A-9404-8B4D9CF27BE1}">
  <ds:schemaRefs/>
</ds:datastoreItem>
</file>

<file path=customXml/itemProps9.xml><?xml version="1.0" encoding="utf-8"?>
<ds:datastoreItem xmlns:ds="http://schemas.openxmlformats.org/officeDocument/2006/customXml" ds:itemID="{1D1E656C-C024-44E7-BCE7-01040E78E9C1}">
  <ds:schemaRefs>
    <ds:schemaRef ds:uri="http://schemas.microsoft.com/DataMashup"/>
  </ds:schemaRefs>
</ds:datastoreItem>
</file>

<file path=customXml/itemProps10.xml><?xml version="1.0" encoding="utf-8"?>
<ds:datastoreItem xmlns:ds="http://schemas.openxmlformats.org/officeDocument/2006/customXml" ds:itemID="{5D55EA0D-ABF2-4080-8CF6-13E58D370944}">
  <ds:schemaRefs/>
</ds:datastoreItem>
</file>

<file path=customXml/itemProps11.xml><?xml version="1.0" encoding="utf-8"?>
<ds:datastoreItem xmlns:ds="http://schemas.openxmlformats.org/officeDocument/2006/customXml" ds:itemID="{12A3DCEB-05E1-4E9B-88D6-F21CAA0953EE}">
  <ds:schemaRefs/>
</ds:datastoreItem>
</file>

<file path=customXml/itemProps12.xml><?xml version="1.0" encoding="utf-8"?>
<ds:datastoreItem xmlns:ds="http://schemas.openxmlformats.org/officeDocument/2006/customXml" ds:itemID="{1C251759-6D11-4EFC-B788-DBC6BF9EECD3}">
  <ds:schemaRefs/>
</ds:datastoreItem>
</file>

<file path=customXml/itemProps13.xml><?xml version="1.0" encoding="utf-8"?>
<ds:datastoreItem xmlns:ds="http://schemas.openxmlformats.org/officeDocument/2006/customXml" ds:itemID="{68C5DFE6-920A-4B1C-9916-9ADD4F334CCD}">
  <ds:schemaRefs/>
</ds:datastoreItem>
</file>

<file path=customXml/itemProps14.xml><?xml version="1.0" encoding="utf-8"?>
<ds:datastoreItem xmlns:ds="http://schemas.openxmlformats.org/officeDocument/2006/customXml" ds:itemID="{0305F218-8EF5-4284-9C16-AA12B823C6E9}">
  <ds:schemaRefs/>
</ds:datastoreItem>
</file>

<file path=customXml/itemProps15.xml><?xml version="1.0" encoding="utf-8"?>
<ds:datastoreItem xmlns:ds="http://schemas.openxmlformats.org/officeDocument/2006/customXml" ds:itemID="{F63A8F9F-99C8-4FDE-9BF4-5716A3F97F73}">
  <ds:schemaRefs/>
</ds:datastoreItem>
</file>

<file path=customXml/itemProps16.xml><?xml version="1.0" encoding="utf-8"?>
<ds:datastoreItem xmlns:ds="http://schemas.openxmlformats.org/officeDocument/2006/customXml" ds:itemID="{83C8AFA4-B4D2-400C-B3F6-664FDFF6C202}">
  <ds:schemaRefs/>
</ds:datastoreItem>
</file>

<file path=customXml/itemProps17.xml><?xml version="1.0" encoding="utf-8"?>
<ds:datastoreItem xmlns:ds="http://schemas.openxmlformats.org/officeDocument/2006/customXml" ds:itemID="{2E665EF7-8A2A-4EBF-BB1A-38228E8643AE}">
  <ds:schemaRefs/>
</ds:datastoreItem>
</file>

<file path=customXml/itemProps18.xml><?xml version="1.0" encoding="utf-8"?>
<ds:datastoreItem xmlns:ds="http://schemas.openxmlformats.org/officeDocument/2006/customXml" ds:itemID="{3C9E9AFC-9C84-44F7-A9F7-9BB143866D18}">
  <ds:schemaRefs/>
</ds:datastoreItem>
</file>

<file path=customXml/itemProps19.xml><?xml version="1.0" encoding="utf-8"?>
<ds:datastoreItem xmlns:ds="http://schemas.openxmlformats.org/officeDocument/2006/customXml" ds:itemID="{94A7026D-0B97-4112-98EA-D0E18C9EEF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Rahman Kassim</dc:creator>
  <cp:lastModifiedBy>Abdul Rahman Kassim</cp:lastModifiedBy>
  <dcterms:created xsi:type="dcterms:W3CDTF">2025-08-23T10:57:00Z</dcterms:created>
  <dcterms:modified xsi:type="dcterms:W3CDTF">2025-09-09T17:43:03Z</dcterms:modified>
</cp:coreProperties>
</file>